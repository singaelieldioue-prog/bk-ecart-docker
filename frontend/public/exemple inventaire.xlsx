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\FICHIER BK\resultzat\"/>
    </mc:Choice>
  </mc:AlternateContent>
  <xr:revisionPtr revIDLastSave="0" documentId="8_{39F15F10-51A6-4DB2-90D1-32A779C809D7}" xr6:coauthVersionLast="47" xr6:coauthVersionMax="47" xr10:uidLastSave="{00000000-0000-0000-0000-000000000000}"/>
  <bookViews>
    <workbookView xWindow="-120" yWindow="-120" windowWidth="20730" windowHeight="11040" xr2:uid="{164874EB-17BE-4CA2-8AC3-33B8C2BEE798}"/>
  </bookViews>
  <sheets>
    <sheet name="inventa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28" i="1" l="1"/>
  <c r="P328" i="1" s="1"/>
  <c r="P327" i="1"/>
  <c r="J327" i="1"/>
  <c r="M327" i="1" s="1"/>
  <c r="P326" i="1"/>
  <c r="J326" i="1"/>
  <c r="M326" i="1" s="1"/>
  <c r="P325" i="1"/>
  <c r="J325" i="1"/>
  <c r="M325" i="1" s="1"/>
  <c r="P324" i="1"/>
  <c r="M324" i="1"/>
  <c r="J324" i="1"/>
  <c r="P323" i="1"/>
  <c r="J323" i="1"/>
  <c r="M323" i="1" s="1"/>
  <c r="P322" i="1"/>
  <c r="J322" i="1"/>
  <c r="M322" i="1" s="1"/>
  <c r="P321" i="1"/>
  <c r="J321" i="1"/>
  <c r="M321" i="1" s="1"/>
  <c r="P320" i="1"/>
  <c r="J320" i="1"/>
  <c r="M320" i="1" s="1"/>
  <c r="P319" i="1"/>
  <c r="J319" i="1"/>
  <c r="M319" i="1" s="1"/>
  <c r="P318" i="1"/>
  <c r="J318" i="1"/>
  <c r="M318" i="1" s="1"/>
  <c r="P317" i="1"/>
  <c r="J317" i="1"/>
  <c r="M317" i="1" s="1"/>
  <c r="P316" i="1"/>
  <c r="J316" i="1"/>
  <c r="M316" i="1" s="1"/>
  <c r="J315" i="1"/>
  <c r="P315" i="1" s="1"/>
  <c r="M314" i="1"/>
  <c r="J314" i="1"/>
  <c r="P314" i="1" s="1"/>
  <c r="J313" i="1"/>
  <c r="P313" i="1" s="1"/>
  <c r="J312" i="1"/>
  <c r="P312" i="1" s="1"/>
  <c r="P311" i="1"/>
  <c r="J311" i="1"/>
  <c r="M311" i="1" s="1"/>
  <c r="P310" i="1"/>
  <c r="J310" i="1"/>
  <c r="M310" i="1" s="1"/>
  <c r="P309" i="1"/>
  <c r="J309" i="1"/>
  <c r="M309" i="1" s="1"/>
  <c r="P308" i="1"/>
  <c r="J308" i="1"/>
  <c r="M308" i="1" s="1"/>
  <c r="P307" i="1"/>
  <c r="J307" i="1"/>
  <c r="M307" i="1" s="1"/>
  <c r="P306" i="1"/>
  <c r="J306" i="1"/>
  <c r="M306" i="1" s="1"/>
  <c r="P305" i="1"/>
  <c r="J305" i="1"/>
  <c r="M305" i="1" s="1"/>
  <c r="P304" i="1"/>
  <c r="J304" i="1"/>
  <c r="M304" i="1" s="1"/>
  <c r="P303" i="1"/>
  <c r="J303" i="1"/>
  <c r="M303" i="1" s="1"/>
  <c r="P302" i="1"/>
  <c r="J302" i="1"/>
  <c r="M302" i="1" s="1"/>
  <c r="P301" i="1"/>
  <c r="M301" i="1"/>
  <c r="J301" i="1"/>
  <c r="P300" i="1"/>
  <c r="J300" i="1"/>
  <c r="M300" i="1" s="1"/>
  <c r="P299" i="1"/>
  <c r="J299" i="1"/>
  <c r="M299" i="1" s="1"/>
  <c r="P298" i="1"/>
  <c r="J298" i="1"/>
  <c r="M298" i="1" s="1"/>
  <c r="J297" i="1"/>
  <c r="J296" i="1"/>
  <c r="P296" i="1" s="1"/>
  <c r="J295" i="1"/>
  <c r="P295" i="1" s="1"/>
  <c r="J294" i="1"/>
  <c r="P294" i="1" s="1"/>
  <c r="P293" i="1"/>
  <c r="J293" i="1"/>
  <c r="M293" i="1" s="1"/>
  <c r="P292" i="1"/>
  <c r="J292" i="1"/>
  <c r="M292" i="1" s="1"/>
  <c r="P291" i="1"/>
  <c r="J291" i="1"/>
  <c r="M291" i="1" s="1"/>
  <c r="P290" i="1"/>
  <c r="J290" i="1"/>
  <c r="M290" i="1" s="1"/>
  <c r="P289" i="1"/>
  <c r="M289" i="1"/>
  <c r="J289" i="1"/>
  <c r="P288" i="1"/>
  <c r="J288" i="1"/>
  <c r="M288" i="1" s="1"/>
  <c r="P287" i="1"/>
  <c r="J287" i="1"/>
  <c r="M287" i="1" s="1"/>
  <c r="P286" i="1"/>
  <c r="J286" i="1"/>
  <c r="M286" i="1" s="1"/>
  <c r="P285" i="1"/>
  <c r="J285" i="1"/>
  <c r="M285" i="1" s="1"/>
  <c r="P284" i="1"/>
  <c r="J284" i="1"/>
  <c r="M284" i="1" s="1"/>
  <c r="J283" i="1"/>
  <c r="P283" i="1" s="1"/>
  <c r="P282" i="1"/>
  <c r="J282" i="1"/>
  <c r="M282" i="1" s="1"/>
  <c r="J281" i="1"/>
  <c r="P281" i="1" s="1"/>
  <c r="P280" i="1"/>
  <c r="M280" i="1"/>
  <c r="J280" i="1"/>
  <c r="P279" i="1"/>
  <c r="J279" i="1"/>
  <c r="M279" i="1" s="1"/>
  <c r="P278" i="1"/>
  <c r="M278" i="1"/>
  <c r="J278" i="1"/>
  <c r="P277" i="1"/>
  <c r="J277" i="1"/>
  <c r="M277" i="1" s="1"/>
  <c r="P276" i="1"/>
  <c r="J276" i="1"/>
  <c r="M276" i="1" s="1"/>
  <c r="P275" i="1"/>
  <c r="J275" i="1"/>
  <c r="M275" i="1" s="1"/>
  <c r="P274" i="1"/>
  <c r="J274" i="1"/>
  <c r="M274" i="1" s="1"/>
  <c r="P273" i="1"/>
  <c r="J273" i="1"/>
  <c r="M273" i="1" s="1"/>
  <c r="P272" i="1"/>
  <c r="J272" i="1"/>
  <c r="M272" i="1" s="1"/>
  <c r="P271" i="1"/>
  <c r="J271" i="1"/>
  <c r="M271" i="1" s="1"/>
  <c r="P270" i="1"/>
  <c r="J270" i="1"/>
  <c r="M270" i="1" s="1"/>
  <c r="P269" i="1"/>
  <c r="J269" i="1"/>
  <c r="M269" i="1" s="1"/>
  <c r="P268" i="1"/>
  <c r="J268" i="1"/>
  <c r="M268" i="1" s="1"/>
  <c r="P267" i="1"/>
  <c r="J267" i="1"/>
  <c r="M267" i="1" s="1"/>
  <c r="P266" i="1"/>
  <c r="J266" i="1"/>
  <c r="M266" i="1" s="1"/>
  <c r="P265" i="1"/>
  <c r="M265" i="1"/>
  <c r="J265" i="1"/>
  <c r="P264" i="1"/>
  <c r="J264" i="1"/>
  <c r="M264" i="1" s="1"/>
  <c r="P263" i="1"/>
  <c r="J263" i="1"/>
  <c r="M263" i="1" s="1"/>
  <c r="P262" i="1"/>
  <c r="J262" i="1"/>
  <c r="M262" i="1" s="1"/>
  <c r="P261" i="1"/>
  <c r="J261" i="1"/>
  <c r="M261" i="1" s="1"/>
  <c r="P260" i="1"/>
  <c r="J260" i="1"/>
  <c r="M260" i="1" s="1"/>
  <c r="P259" i="1"/>
  <c r="J259" i="1"/>
  <c r="M259" i="1" s="1"/>
  <c r="J258" i="1"/>
  <c r="P258" i="1" s="1"/>
  <c r="J257" i="1"/>
  <c r="P257" i="1" s="1"/>
  <c r="P256" i="1"/>
  <c r="M256" i="1"/>
  <c r="J256" i="1"/>
  <c r="J255" i="1"/>
  <c r="P255" i="1" s="1"/>
  <c r="J254" i="1"/>
  <c r="P254" i="1" s="1"/>
  <c r="J253" i="1"/>
  <c r="P253" i="1" s="1"/>
  <c r="J252" i="1"/>
  <c r="P252" i="1" s="1"/>
  <c r="J251" i="1"/>
  <c r="P251" i="1" s="1"/>
  <c r="M250" i="1"/>
  <c r="J250" i="1"/>
  <c r="P250" i="1" s="1"/>
  <c r="J249" i="1"/>
  <c r="P249" i="1" s="1"/>
  <c r="J248" i="1"/>
  <c r="P248" i="1" s="1"/>
  <c r="J247" i="1"/>
  <c r="P247" i="1" s="1"/>
  <c r="J246" i="1"/>
  <c r="P246" i="1" s="1"/>
  <c r="P245" i="1"/>
  <c r="M245" i="1"/>
  <c r="J245" i="1"/>
  <c r="P244" i="1"/>
  <c r="J244" i="1"/>
  <c r="M244" i="1" s="1"/>
  <c r="P243" i="1"/>
  <c r="J243" i="1"/>
  <c r="M243" i="1" s="1"/>
  <c r="P242" i="1"/>
  <c r="J242" i="1"/>
  <c r="M242" i="1" s="1"/>
  <c r="P241" i="1"/>
  <c r="J241" i="1"/>
  <c r="M241" i="1" s="1"/>
  <c r="P240" i="1"/>
  <c r="J240" i="1"/>
  <c r="M240" i="1" s="1"/>
  <c r="P239" i="1"/>
  <c r="J239" i="1"/>
  <c r="M239" i="1" s="1"/>
  <c r="P238" i="1"/>
  <c r="M238" i="1"/>
  <c r="J238" i="1"/>
  <c r="P237" i="1"/>
  <c r="J237" i="1"/>
  <c r="M237" i="1" s="1"/>
  <c r="P236" i="1"/>
  <c r="J236" i="1"/>
  <c r="M236" i="1" s="1"/>
  <c r="J235" i="1"/>
  <c r="P235" i="1" s="1"/>
  <c r="P234" i="1"/>
  <c r="J234" i="1"/>
  <c r="M234" i="1" s="1"/>
  <c r="P233" i="1"/>
  <c r="J233" i="1"/>
  <c r="M233" i="1" s="1"/>
  <c r="J232" i="1"/>
  <c r="J231" i="1"/>
  <c r="P231" i="1" s="1"/>
  <c r="J230" i="1"/>
  <c r="P230" i="1" s="1"/>
  <c r="J229" i="1"/>
  <c r="P229" i="1" s="1"/>
  <c r="P228" i="1"/>
  <c r="J228" i="1"/>
  <c r="M228" i="1" s="1"/>
  <c r="J227" i="1"/>
  <c r="P227" i="1" s="1"/>
  <c r="J226" i="1"/>
  <c r="J225" i="1"/>
  <c r="P225" i="1" s="1"/>
  <c r="J224" i="1"/>
  <c r="M224" i="1" s="1"/>
  <c r="J223" i="1"/>
  <c r="P223" i="1" s="1"/>
  <c r="J222" i="1"/>
  <c r="P222" i="1" s="1"/>
  <c r="P221" i="1"/>
  <c r="J221" i="1"/>
  <c r="M221" i="1" s="1"/>
  <c r="P220" i="1"/>
  <c r="J220" i="1"/>
  <c r="M220" i="1" s="1"/>
  <c r="P219" i="1"/>
  <c r="J219" i="1"/>
  <c r="M219" i="1" s="1"/>
  <c r="P218" i="1"/>
  <c r="M218" i="1"/>
  <c r="J218" i="1"/>
  <c r="P217" i="1"/>
  <c r="J217" i="1"/>
  <c r="M217" i="1" s="1"/>
  <c r="P216" i="1"/>
  <c r="J216" i="1"/>
  <c r="M216" i="1" s="1"/>
  <c r="P215" i="1"/>
  <c r="J215" i="1"/>
  <c r="M215" i="1" s="1"/>
  <c r="J214" i="1"/>
  <c r="P214" i="1" s="1"/>
  <c r="P213" i="1"/>
  <c r="J213" i="1"/>
  <c r="M213" i="1" s="1"/>
  <c r="J212" i="1"/>
  <c r="P211" i="1"/>
  <c r="J211" i="1"/>
  <c r="M211" i="1" s="1"/>
  <c r="P210" i="1"/>
  <c r="J210" i="1"/>
  <c r="M210" i="1" s="1"/>
  <c r="P209" i="1"/>
  <c r="M209" i="1"/>
  <c r="J209" i="1"/>
  <c r="P208" i="1"/>
  <c r="J208" i="1"/>
  <c r="M208" i="1" s="1"/>
  <c r="P207" i="1"/>
  <c r="J207" i="1"/>
  <c r="M207" i="1" s="1"/>
  <c r="P206" i="1"/>
  <c r="J206" i="1"/>
  <c r="M206" i="1" s="1"/>
  <c r="P205" i="1"/>
  <c r="J205" i="1"/>
  <c r="M205" i="1" s="1"/>
  <c r="P204" i="1"/>
  <c r="J204" i="1"/>
  <c r="M204" i="1" s="1"/>
  <c r="P203" i="1"/>
  <c r="J203" i="1"/>
  <c r="M203" i="1" s="1"/>
  <c r="P202" i="1"/>
  <c r="J202" i="1"/>
  <c r="M202" i="1" s="1"/>
  <c r="P201" i="1"/>
  <c r="J201" i="1"/>
  <c r="M201" i="1" s="1"/>
  <c r="P200" i="1"/>
  <c r="J200" i="1"/>
  <c r="M200" i="1" s="1"/>
  <c r="P199" i="1"/>
  <c r="J199" i="1"/>
  <c r="M199" i="1" s="1"/>
  <c r="P198" i="1"/>
  <c r="J198" i="1"/>
  <c r="M198" i="1" s="1"/>
  <c r="P197" i="1"/>
  <c r="J197" i="1"/>
  <c r="M197" i="1" s="1"/>
  <c r="P196" i="1"/>
  <c r="M196" i="1"/>
  <c r="J196" i="1"/>
  <c r="P195" i="1"/>
  <c r="J195" i="1"/>
  <c r="M195" i="1" s="1"/>
  <c r="P194" i="1"/>
  <c r="M194" i="1"/>
  <c r="J194" i="1"/>
  <c r="P193" i="1"/>
  <c r="J193" i="1"/>
  <c r="M193" i="1" s="1"/>
  <c r="P192" i="1"/>
  <c r="J192" i="1"/>
  <c r="M192" i="1" s="1"/>
  <c r="P191" i="1"/>
  <c r="J191" i="1"/>
  <c r="M191" i="1" s="1"/>
  <c r="J190" i="1"/>
  <c r="P190" i="1" s="1"/>
  <c r="P189" i="1"/>
  <c r="J189" i="1"/>
  <c r="M189" i="1" s="1"/>
  <c r="P188" i="1"/>
  <c r="J188" i="1"/>
  <c r="M188" i="1" s="1"/>
  <c r="P187" i="1"/>
  <c r="J187" i="1"/>
  <c r="M187" i="1" s="1"/>
  <c r="P186" i="1"/>
  <c r="J186" i="1"/>
  <c r="M186" i="1" s="1"/>
  <c r="P185" i="1"/>
  <c r="M185" i="1"/>
  <c r="J185" i="1"/>
  <c r="P184" i="1"/>
  <c r="J184" i="1"/>
  <c r="M184" i="1" s="1"/>
  <c r="P183" i="1"/>
  <c r="J183" i="1"/>
  <c r="M183" i="1" s="1"/>
  <c r="M182" i="1"/>
  <c r="J182" i="1"/>
  <c r="P182" i="1" s="1"/>
  <c r="J181" i="1"/>
  <c r="P181" i="1" s="1"/>
  <c r="P180" i="1"/>
  <c r="J180" i="1"/>
  <c r="M180" i="1" s="1"/>
  <c r="J179" i="1"/>
  <c r="P179" i="1" s="1"/>
  <c r="P178" i="1"/>
  <c r="J178" i="1"/>
  <c r="M178" i="1" s="1"/>
  <c r="P177" i="1"/>
  <c r="J177" i="1"/>
  <c r="M177" i="1" s="1"/>
  <c r="J176" i="1"/>
  <c r="J175" i="1"/>
  <c r="P175" i="1" s="1"/>
  <c r="J174" i="1"/>
  <c r="P174" i="1" s="1"/>
  <c r="P173" i="1"/>
  <c r="J173" i="1"/>
  <c r="M173" i="1" s="1"/>
  <c r="P172" i="1"/>
  <c r="J172" i="1"/>
  <c r="M172" i="1" s="1"/>
  <c r="P171" i="1"/>
  <c r="J171" i="1"/>
  <c r="M171" i="1" s="1"/>
  <c r="P170" i="1"/>
  <c r="J170" i="1"/>
  <c r="M170" i="1" s="1"/>
  <c r="P169" i="1"/>
  <c r="J169" i="1"/>
  <c r="M169" i="1" s="1"/>
  <c r="P168" i="1"/>
  <c r="M168" i="1"/>
  <c r="J168" i="1"/>
  <c r="P167" i="1"/>
  <c r="J167" i="1"/>
  <c r="M167" i="1" s="1"/>
  <c r="P166" i="1"/>
  <c r="M166" i="1"/>
  <c r="J166" i="1"/>
  <c r="P165" i="1"/>
  <c r="J165" i="1"/>
  <c r="M165" i="1" s="1"/>
  <c r="P164" i="1"/>
  <c r="J164" i="1"/>
  <c r="M164" i="1" s="1"/>
  <c r="J163" i="1"/>
  <c r="P163" i="1" s="1"/>
  <c r="P162" i="1"/>
  <c r="J162" i="1"/>
  <c r="M162" i="1" s="1"/>
  <c r="P161" i="1"/>
  <c r="J161" i="1"/>
  <c r="M161" i="1" s="1"/>
  <c r="P160" i="1"/>
  <c r="J160" i="1"/>
  <c r="M160" i="1" s="1"/>
  <c r="P159" i="1"/>
  <c r="J159" i="1"/>
  <c r="M159" i="1" s="1"/>
  <c r="P158" i="1"/>
  <c r="J158" i="1"/>
  <c r="M158" i="1" s="1"/>
  <c r="P157" i="1"/>
  <c r="M157" i="1"/>
  <c r="J157" i="1"/>
  <c r="J156" i="1"/>
  <c r="P156" i="1" s="1"/>
  <c r="P155" i="1"/>
  <c r="J155" i="1"/>
  <c r="M155" i="1" s="1"/>
  <c r="P154" i="1"/>
  <c r="J154" i="1"/>
  <c r="M154" i="1" s="1"/>
  <c r="P153" i="1"/>
  <c r="J153" i="1"/>
  <c r="M153" i="1" s="1"/>
  <c r="P152" i="1"/>
  <c r="J152" i="1"/>
  <c r="M152" i="1" s="1"/>
  <c r="P151" i="1"/>
  <c r="J151" i="1"/>
  <c r="M151" i="1" s="1"/>
  <c r="P150" i="1"/>
  <c r="M150" i="1"/>
  <c r="J150" i="1"/>
  <c r="P149" i="1"/>
  <c r="J149" i="1"/>
  <c r="M149" i="1" s="1"/>
  <c r="P148" i="1"/>
  <c r="J148" i="1"/>
  <c r="M148" i="1" s="1"/>
  <c r="P147" i="1"/>
  <c r="J147" i="1"/>
  <c r="M147" i="1" s="1"/>
  <c r="P146" i="1"/>
  <c r="J146" i="1"/>
  <c r="M146" i="1" s="1"/>
  <c r="P145" i="1"/>
  <c r="J145" i="1"/>
  <c r="M145" i="1" s="1"/>
  <c r="P144" i="1"/>
  <c r="M144" i="1"/>
  <c r="J144" i="1"/>
  <c r="P143" i="1"/>
  <c r="J143" i="1"/>
  <c r="M143" i="1" s="1"/>
  <c r="P142" i="1"/>
  <c r="J142" i="1"/>
  <c r="M142" i="1" s="1"/>
  <c r="P141" i="1"/>
  <c r="J141" i="1"/>
  <c r="M141" i="1" s="1"/>
  <c r="P140" i="1"/>
  <c r="J140" i="1"/>
  <c r="M140" i="1" s="1"/>
  <c r="P139" i="1"/>
  <c r="J139" i="1"/>
  <c r="M139" i="1" s="1"/>
  <c r="P138" i="1"/>
  <c r="J138" i="1"/>
  <c r="M138" i="1" s="1"/>
  <c r="P137" i="1"/>
  <c r="M137" i="1"/>
  <c r="J137" i="1"/>
  <c r="P136" i="1"/>
  <c r="J136" i="1"/>
  <c r="M136" i="1" s="1"/>
  <c r="P135" i="1"/>
  <c r="J135" i="1"/>
  <c r="M135" i="1" s="1"/>
  <c r="P134" i="1"/>
  <c r="J134" i="1"/>
  <c r="M134" i="1" s="1"/>
  <c r="P133" i="1"/>
  <c r="J133" i="1"/>
  <c r="M133" i="1" s="1"/>
  <c r="P132" i="1"/>
  <c r="J132" i="1"/>
  <c r="M132" i="1" s="1"/>
  <c r="P131" i="1"/>
  <c r="J131" i="1"/>
  <c r="M131" i="1" s="1"/>
  <c r="P130" i="1"/>
  <c r="J130" i="1"/>
  <c r="M130" i="1" s="1"/>
  <c r="P129" i="1"/>
  <c r="J129" i="1"/>
  <c r="M129" i="1" s="1"/>
  <c r="P128" i="1"/>
  <c r="J128" i="1"/>
  <c r="M128" i="1" s="1"/>
  <c r="P127" i="1"/>
  <c r="J127" i="1"/>
  <c r="M127" i="1" s="1"/>
  <c r="P126" i="1"/>
  <c r="J126" i="1"/>
  <c r="M126" i="1" s="1"/>
  <c r="P125" i="1"/>
  <c r="J125" i="1"/>
  <c r="M125" i="1" s="1"/>
  <c r="P124" i="1"/>
  <c r="M124" i="1"/>
  <c r="J124" i="1"/>
  <c r="J123" i="1"/>
  <c r="P123" i="1" s="1"/>
  <c r="P122" i="1"/>
  <c r="J122" i="1"/>
  <c r="M122" i="1" s="1"/>
  <c r="P121" i="1"/>
  <c r="J121" i="1"/>
  <c r="M121" i="1" s="1"/>
  <c r="P120" i="1"/>
  <c r="J120" i="1"/>
  <c r="M120" i="1" s="1"/>
  <c r="P119" i="1"/>
  <c r="J119" i="1"/>
  <c r="M119" i="1" s="1"/>
  <c r="P118" i="1"/>
  <c r="J118" i="1"/>
  <c r="M118" i="1" s="1"/>
  <c r="P117" i="1"/>
  <c r="J117" i="1"/>
  <c r="M117" i="1" s="1"/>
  <c r="P116" i="1"/>
  <c r="J116" i="1"/>
  <c r="M116" i="1" s="1"/>
  <c r="P115" i="1"/>
  <c r="J115" i="1"/>
  <c r="M115" i="1" s="1"/>
  <c r="P114" i="1"/>
  <c r="J114" i="1"/>
  <c r="M114" i="1" s="1"/>
  <c r="P113" i="1"/>
  <c r="M113" i="1"/>
  <c r="J113" i="1"/>
  <c r="P112" i="1"/>
  <c r="J112" i="1"/>
  <c r="M112" i="1" s="1"/>
  <c r="P111" i="1"/>
  <c r="J111" i="1"/>
  <c r="M111" i="1" s="1"/>
  <c r="P110" i="1"/>
  <c r="J110" i="1"/>
  <c r="M110" i="1" s="1"/>
  <c r="P109" i="1"/>
  <c r="J109" i="1"/>
  <c r="M109" i="1" s="1"/>
  <c r="J108" i="1"/>
  <c r="P108" i="1" s="1"/>
  <c r="P107" i="1"/>
  <c r="J107" i="1"/>
  <c r="M107" i="1" s="1"/>
  <c r="P106" i="1"/>
  <c r="M106" i="1"/>
  <c r="J106" i="1"/>
  <c r="P105" i="1"/>
  <c r="J105" i="1"/>
  <c r="M105" i="1" s="1"/>
  <c r="P104" i="1"/>
  <c r="J104" i="1"/>
  <c r="M104" i="1" s="1"/>
  <c r="P103" i="1"/>
  <c r="J103" i="1"/>
  <c r="M103" i="1" s="1"/>
  <c r="P102" i="1"/>
  <c r="J102" i="1"/>
  <c r="M102" i="1" s="1"/>
  <c r="P101" i="1"/>
  <c r="J101" i="1"/>
  <c r="M101" i="1" s="1"/>
  <c r="P100" i="1"/>
  <c r="M100" i="1"/>
  <c r="J100" i="1"/>
  <c r="P99" i="1"/>
  <c r="J99" i="1"/>
  <c r="M99" i="1" s="1"/>
  <c r="P98" i="1"/>
  <c r="J98" i="1"/>
  <c r="M98" i="1" s="1"/>
  <c r="P97" i="1"/>
  <c r="J97" i="1"/>
  <c r="M97" i="1" s="1"/>
  <c r="P96" i="1"/>
  <c r="J96" i="1"/>
  <c r="M96" i="1" s="1"/>
  <c r="P95" i="1"/>
  <c r="J95" i="1"/>
  <c r="M95" i="1" s="1"/>
  <c r="P94" i="1"/>
  <c r="J94" i="1"/>
  <c r="M94" i="1" s="1"/>
  <c r="P93" i="1"/>
  <c r="M93" i="1"/>
  <c r="J93" i="1"/>
  <c r="P92" i="1"/>
  <c r="J92" i="1"/>
  <c r="M92" i="1" s="1"/>
  <c r="P91" i="1"/>
  <c r="J91" i="1"/>
  <c r="M91" i="1" s="1"/>
  <c r="P90" i="1"/>
  <c r="J90" i="1"/>
  <c r="M90" i="1" s="1"/>
  <c r="P89" i="1"/>
  <c r="J89" i="1"/>
  <c r="M89" i="1" s="1"/>
  <c r="P88" i="1"/>
  <c r="J88" i="1"/>
  <c r="M88" i="1" s="1"/>
  <c r="P87" i="1"/>
  <c r="J87" i="1"/>
  <c r="M87" i="1" s="1"/>
  <c r="J86" i="1"/>
  <c r="P86" i="1" s="1"/>
  <c r="P85" i="1"/>
  <c r="J85" i="1"/>
  <c r="M85" i="1" s="1"/>
  <c r="P84" i="1"/>
  <c r="M84" i="1"/>
  <c r="J84" i="1"/>
  <c r="P83" i="1"/>
  <c r="J83" i="1"/>
  <c r="M83" i="1" s="1"/>
  <c r="P82" i="1"/>
  <c r="M82" i="1"/>
  <c r="J82" i="1"/>
  <c r="P81" i="1"/>
  <c r="J81" i="1"/>
  <c r="M81" i="1" s="1"/>
  <c r="P80" i="1"/>
  <c r="J80" i="1"/>
  <c r="M80" i="1" s="1"/>
  <c r="P79" i="1"/>
  <c r="J79" i="1"/>
  <c r="M79" i="1" s="1"/>
  <c r="P78" i="1"/>
  <c r="J78" i="1"/>
  <c r="M78" i="1" s="1"/>
  <c r="P77" i="1"/>
  <c r="J77" i="1"/>
  <c r="M77" i="1" s="1"/>
  <c r="P76" i="1"/>
  <c r="J76" i="1"/>
  <c r="M76" i="1" s="1"/>
  <c r="P75" i="1"/>
  <c r="J75" i="1"/>
  <c r="M75" i="1" s="1"/>
  <c r="P74" i="1"/>
  <c r="J74" i="1"/>
  <c r="M74" i="1" s="1"/>
  <c r="P73" i="1"/>
  <c r="J73" i="1"/>
  <c r="M73" i="1" s="1"/>
  <c r="P72" i="1"/>
  <c r="J72" i="1"/>
  <c r="M72" i="1" s="1"/>
  <c r="P71" i="1"/>
  <c r="J71" i="1"/>
  <c r="M71" i="1" s="1"/>
  <c r="P70" i="1"/>
  <c r="J70" i="1"/>
  <c r="M70" i="1" s="1"/>
  <c r="P69" i="1"/>
  <c r="M69" i="1"/>
  <c r="J69" i="1"/>
  <c r="P68" i="1"/>
  <c r="J68" i="1"/>
  <c r="M68" i="1" s="1"/>
  <c r="P67" i="1"/>
  <c r="J67" i="1"/>
  <c r="M67" i="1" s="1"/>
  <c r="P66" i="1"/>
  <c r="J66" i="1"/>
  <c r="M66" i="1" s="1"/>
  <c r="P65" i="1"/>
  <c r="J65" i="1"/>
  <c r="M65" i="1" s="1"/>
  <c r="P64" i="1"/>
  <c r="J64" i="1"/>
  <c r="M64" i="1" s="1"/>
  <c r="P63" i="1"/>
  <c r="J63" i="1"/>
  <c r="M63" i="1" s="1"/>
  <c r="P62" i="1"/>
  <c r="M62" i="1"/>
  <c r="J62" i="1"/>
  <c r="P61" i="1"/>
  <c r="J61" i="1"/>
  <c r="M61" i="1" s="1"/>
  <c r="P60" i="1"/>
  <c r="J60" i="1"/>
  <c r="M60" i="1" s="1"/>
  <c r="P59" i="1"/>
  <c r="J59" i="1"/>
  <c r="M59" i="1" s="1"/>
  <c r="P58" i="1"/>
  <c r="J58" i="1"/>
  <c r="M58" i="1" s="1"/>
  <c r="E57" i="1"/>
  <c r="P56" i="1"/>
  <c r="M56" i="1"/>
  <c r="J56" i="1"/>
  <c r="P55" i="1"/>
  <c r="J55" i="1"/>
  <c r="M55" i="1" s="1"/>
  <c r="P54" i="1"/>
  <c r="J54" i="1"/>
  <c r="M54" i="1" s="1"/>
  <c r="P53" i="1"/>
  <c r="J53" i="1"/>
  <c r="M53" i="1" s="1"/>
  <c r="P52" i="1"/>
  <c r="M52" i="1"/>
  <c r="J52" i="1"/>
  <c r="P51" i="1"/>
  <c r="J51" i="1"/>
  <c r="M51" i="1" s="1"/>
  <c r="P50" i="1"/>
  <c r="J50" i="1"/>
  <c r="M50" i="1" s="1"/>
  <c r="P49" i="1"/>
  <c r="J49" i="1"/>
  <c r="M49" i="1" s="1"/>
  <c r="P48" i="1"/>
  <c r="M48" i="1"/>
  <c r="J48" i="1"/>
  <c r="P47" i="1"/>
  <c r="J47" i="1"/>
  <c r="M47" i="1" s="1"/>
  <c r="P46" i="1"/>
  <c r="J46" i="1"/>
  <c r="M46" i="1" s="1"/>
  <c r="P45" i="1"/>
  <c r="M45" i="1"/>
  <c r="J45" i="1"/>
  <c r="P44" i="1"/>
  <c r="M44" i="1"/>
  <c r="J44" i="1"/>
  <c r="P43" i="1"/>
  <c r="J43" i="1"/>
  <c r="M43" i="1" s="1"/>
  <c r="P42" i="1"/>
  <c r="J42" i="1"/>
  <c r="M42" i="1" s="1"/>
  <c r="P41" i="1"/>
  <c r="J41" i="1"/>
  <c r="M41" i="1" s="1"/>
  <c r="P40" i="1"/>
  <c r="M40" i="1"/>
  <c r="J40" i="1"/>
  <c r="P39" i="1"/>
  <c r="J39" i="1"/>
  <c r="M39" i="1" s="1"/>
  <c r="P38" i="1"/>
  <c r="J38" i="1"/>
  <c r="M38" i="1" s="1"/>
  <c r="P37" i="1"/>
  <c r="J37" i="1"/>
  <c r="M37" i="1" s="1"/>
  <c r="P36" i="1"/>
  <c r="M36" i="1"/>
  <c r="J36" i="1"/>
  <c r="P35" i="1"/>
  <c r="J35" i="1"/>
  <c r="M35" i="1" s="1"/>
  <c r="P34" i="1"/>
  <c r="J34" i="1"/>
  <c r="M34" i="1" s="1"/>
  <c r="P33" i="1"/>
  <c r="J33" i="1"/>
  <c r="M33" i="1" s="1"/>
  <c r="P32" i="1"/>
  <c r="M32" i="1"/>
  <c r="J32" i="1"/>
  <c r="P31" i="1"/>
  <c r="J31" i="1"/>
  <c r="M31" i="1" s="1"/>
  <c r="P30" i="1"/>
  <c r="M30" i="1"/>
  <c r="J30" i="1"/>
  <c r="P29" i="1"/>
  <c r="J29" i="1"/>
  <c r="M29" i="1" s="1"/>
  <c r="P28" i="1"/>
  <c r="M28" i="1"/>
  <c r="J28" i="1"/>
  <c r="P27" i="1"/>
  <c r="J27" i="1"/>
  <c r="M27" i="1" s="1"/>
  <c r="P26" i="1"/>
  <c r="M26" i="1"/>
  <c r="J26" i="1"/>
  <c r="P25" i="1"/>
  <c r="J25" i="1"/>
  <c r="M25" i="1" s="1"/>
  <c r="P24" i="1"/>
  <c r="M24" i="1"/>
  <c r="J24" i="1"/>
  <c r="P23" i="1"/>
  <c r="J23" i="1"/>
  <c r="M23" i="1" s="1"/>
  <c r="P22" i="1"/>
  <c r="J22" i="1"/>
  <c r="M22" i="1" s="1"/>
  <c r="P21" i="1"/>
  <c r="J21" i="1"/>
  <c r="M21" i="1" s="1"/>
  <c r="P20" i="1"/>
  <c r="M20" i="1"/>
  <c r="J20" i="1"/>
  <c r="P19" i="1"/>
  <c r="J19" i="1"/>
  <c r="M19" i="1" s="1"/>
  <c r="P18" i="1"/>
  <c r="J18" i="1"/>
  <c r="M18" i="1" s="1"/>
  <c r="P17" i="1"/>
  <c r="M17" i="1"/>
  <c r="J17" i="1"/>
  <c r="P16" i="1"/>
  <c r="M16" i="1"/>
  <c r="J16" i="1"/>
  <c r="P15" i="1"/>
  <c r="J15" i="1"/>
  <c r="M15" i="1" s="1"/>
  <c r="P14" i="1"/>
  <c r="J14" i="1"/>
  <c r="M14" i="1" s="1"/>
  <c r="P13" i="1"/>
  <c r="J13" i="1"/>
  <c r="M13" i="1" s="1"/>
  <c r="P12" i="1"/>
  <c r="M12" i="1"/>
  <c r="J12" i="1"/>
  <c r="P11" i="1"/>
  <c r="J11" i="1"/>
  <c r="M11" i="1" s="1"/>
  <c r="P10" i="1"/>
  <c r="M10" i="1"/>
  <c r="J10" i="1"/>
  <c r="P9" i="1"/>
  <c r="J9" i="1"/>
  <c r="M9" i="1" s="1"/>
  <c r="P8" i="1"/>
  <c r="M8" i="1"/>
  <c r="J8" i="1"/>
  <c r="P7" i="1"/>
  <c r="J7" i="1"/>
  <c r="M7" i="1" s="1"/>
  <c r="P226" i="1" l="1"/>
  <c r="M226" i="1"/>
  <c r="P212" i="1"/>
  <c r="M212" i="1"/>
  <c r="E331" i="1"/>
  <c r="P57" i="1"/>
  <c r="J57" i="1"/>
  <c r="M57" i="1" s="1"/>
  <c r="P232" i="1"/>
  <c r="M232" i="1"/>
  <c r="P176" i="1"/>
  <c r="M176" i="1"/>
  <c r="P297" i="1"/>
  <c r="M297" i="1"/>
  <c r="M181" i="1"/>
  <c r="E334" i="1" s="1"/>
  <c r="M190" i="1"/>
  <c r="M246" i="1"/>
  <c r="M252" i="1"/>
  <c r="M257" i="1"/>
  <c r="M222" i="1"/>
  <c r="M253" i="1"/>
  <c r="M258" i="1"/>
  <c r="M312" i="1"/>
  <c r="M214" i="1"/>
  <c r="M248" i="1"/>
  <c r="M229" i="1"/>
  <c r="P224" i="1"/>
  <c r="M281" i="1"/>
  <c r="E335" i="1"/>
  <c r="M294" i="1"/>
  <c r="M156" i="1"/>
  <c r="M249" i="1"/>
  <c r="M254" i="1"/>
  <c r="M313" i="1"/>
  <c r="M108" i="1"/>
  <c r="E333" i="1" s="1"/>
  <c r="M174" i="1"/>
  <c r="E332" i="1" s="1"/>
  <c r="M225" i="1"/>
  <c r="M230" i="1"/>
  <c r="M296" i="1"/>
  <c r="M328" i="1"/>
  <c r="E330" i="1"/>
  <c r="M86" i="1"/>
  <c r="M123" i="1"/>
  <c r="M163" i="1"/>
  <c r="M175" i="1"/>
  <c r="M179" i="1"/>
  <c r="M223" i="1"/>
  <c r="M227" i="1"/>
  <c r="M231" i="1"/>
  <c r="M235" i="1"/>
  <c r="M247" i="1"/>
  <c r="M251" i="1"/>
  <c r="M255" i="1"/>
  <c r="M283" i="1"/>
  <c r="M295" i="1"/>
  <c r="M315" i="1"/>
  <c r="E336" i="1" l="1"/>
  <c r="F336" i="1" s="1"/>
  <c r="F3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YAO Samj</author>
    <author>ARISTIDE KANGA</author>
  </authors>
  <commentList>
    <comment ref="D3" authorId="0" shapeId="0" xr:uid="{69A26F18-01BA-4CF4-9112-AF3F2C465BA5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Veuillez préciser le nom de votre Restaurant SVP</t>
        </r>
      </text>
    </comment>
    <comment ref="E57" authorId="1" shapeId="0" xr:uid="{6431E0AF-1326-4336-B841-C1BFFB1AED45}">
      <text>
        <r>
          <rPr>
            <b/>
            <sz val="9"/>
            <color indexed="81"/>
            <rFont val="Tahoma"/>
            <family val="2"/>
          </rPr>
          <t>ARISTIDE KANGA:</t>
        </r>
        <r>
          <rPr>
            <sz val="9"/>
            <color indexed="81"/>
            <rFont val="Tahoma"/>
            <family val="2"/>
          </rPr>
          <t xml:space="preserve">
8 inners dans le cartons
</t>
        </r>
      </text>
    </comment>
    <comment ref="P63" authorId="0" shapeId="0" xr:uid="{8EAE3CFA-55D3-4A59-A84B-1C1118615D59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Inventaire au Kg</t>
        </r>
      </text>
    </comment>
    <comment ref="P97" authorId="0" shapeId="0" xr:uid="{AA7E37C0-FE16-4A86-B16A-54E14A0AA1E9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Inventaire en inner</t>
        </r>
      </text>
    </comment>
    <comment ref="P98" authorId="1" shapeId="0" xr:uid="{64DBFB59-FB68-450D-8393-771A05E5F93F}">
      <text>
        <r>
          <rPr>
            <b/>
            <sz val="9"/>
            <color indexed="81"/>
            <rFont val="Tahoma"/>
            <family val="2"/>
          </rPr>
          <t>ARISTIDE KANGA:</t>
        </r>
        <r>
          <rPr>
            <sz val="9"/>
            <color indexed="81"/>
            <rFont val="Tahoma"/>
            <family val="2"/>
          </rPr>
          <t xml:space="preserve">
Inventaire en inners
</t>
        </r>
      </text>
    </comment>
    <comment ref="P105" authorId="0" shapeId="0" xr:uid="{0C27C392-EE94-467E-B460-A681A6F82DDF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Inventaire en Kg</t>
        </r>
      </text>
    </comment>
    <comment ref="P107" authorId="0" shapeId="0" xr:uid="{E053C579-4DBB-41E4-AB5B-8F712D27CA75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Inventaire en Kg</t>
        </r>
      </text>
    </comment>
    <comment ref="P108" authorId="1" shapeId="0" xr:uid="{0ACE456D-CDD6-44C3-BA56-7110F66E79D4}">
      <text>
        <r>
          <rPr>
            <b/>
            <sz val="9"/>
            <color indexed="81"/>
            <rFont val="Tahoma"/>
            <family val="2"/>
          </rPr>
          <t>ARISTIDE KANGA:</t>
        </r>
        <r>
          <rPr>
            <sz val="9"/>
            <color indexed="81"/>
            <rFont val="Tahoma"/>
            <family val="2"/>
          </rPr>
          <t xml:space="preserve">
inventaire en litre 
</t>
        </r>
      </text>
    </comment>
    <comment ref="P119" authorId="0" shapeId="0" xr:uid="{5841D342-875D-4A24-898B-0EC2CB3481C2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Inventaire en Litre
</t>
        </r>
      </text>
    </comment>
    <comment ref="P121" authorId="0" shapeId="0" xr:uid="{F5267C1E-26C1-42D8-96D7-28B08CE7BB01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Inventaire en Kg</t>
        </r>
      </text>
    </comment>
    <comment ref="P126" authorId="0" shapeId="0" xr:uid="{B6D2EF5B-70F9-490D-989E-C8B6425489CC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Inventaire en Kg</t>
        </r>
      </text>
    </comment>
    <comment ref="P143" authorId="0" shapeId="0" xr:uid="{DA7CA122-4600-4ECB-B7DE-3ED51CA44A8F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Inventaire en Kg
</t>
        </r>
      </text>
    </comment>
    <comment ref="P144" authorId="0" shapeId="0" xr:uid="{D027C94F-E5F5-4C6A-8FC3-02950D72B7C3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Inventaire en Kg
</t>
        </r>
      </text>
    </comment>
    <comment ref="P149" authorId="0" shapeId="0" xr:uid="{FA1F070B-DE39-4731-B3FD-7762C0B6965B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En Kg</t>
        </r>
      </text>
    </comment>
    <comment ref="E157" authorId="1" shapeId="0" xr:uid="{8582FA0D-4185-42AE-9B6C-A64ED6445ADC}">
      <text>
        <r>
          <rPr>
            <b/>
            <sz val="9"/>
            <color indexed="81"/>
            <rFont val="Tahoma"/>
            <family val="2"/>
          </rPr>
          <t>ARISTIDE KANGA:</t>
        </r>
        <r>
          <rPr>
            <sz val="9"/>
            <color indexed="81"/>
            <rFont val="Tahoma"/>
            <family val="2"/>
          </rPr>
          <t xml:space="preserve">
12 x 350 Ml
</t>
        </r>
      </text>
    </comment>
    <comment ref="P157" authorId="1" shapeId="0" xr:uid="{C8389632-30E5-4CD3-8879-F1A143868B96}">
      <text>
        <r>
          <rPr>
            <b/>
            <sz val="9"/>
            <color indexed="81"/>
            <rFont val="Tahoma"/>
            <family val="2"/>
          </rPr>
          <t>ARISTIDE KANGA:</t>
        </r>
        <r>
          <rPr>
            <sz val="9"/>
            <color indexed="81"/>
            <rFont val="Tahoma"/>
            <family val="2"/>
          </rPr>
          <t xml:space="preserve">
En ml 
</t>
        </r>
      </text>
    </comment>
    <comment ref="P163" authorId="1" shapeId="0" xr:uid="{E5212E53-5C4A-4CAD-9FBC-76BB71CC5410}">
      <text>
        <r>
          <rPr>
            <b/>
            <sz val="9"/>
            <color indexed="81"/>
            <rFont val="Tahoma"/>
            <family val="2"/>
          </rPr>
          <t>ARISTIDE KANGA:</t>
        </r>
        <r>
          <rPr>
            <sz val="9"/>
            <color indexed="81"/>
            <rFont val="Tahoma"/>
            <family val="2"/>
          </rPr>
          <t xml:space="preserve">
renseigner en inners
</t>
        </r>
      </text>
    </comment>
    <comment ref="P164" authorId="0" shapeId="0" xr:uid="{88A60776-8324-48A9-ABA0-2284039D2E77}">
      <text>
        <r>
          <rPr>
            <b/>
            <sz val="9"/>
            <color indexed="81"/>
            <rFont val="Tahoma"/>
            <family val="2"/>
          </rPr>
          <t>YAO Samj:</t>
        </r>
        <r>
          <rPr>
            <sz val="9"/>
            <color indexed="81"/>
            <rFont val="Tahoma"/>
            <family val="2"/>
          </rPr>
          <t xml:space="preserve">
Inventaire en Kg</t>
        </r>
      </text>
    </comment>
    <comment ref="I181" authorId="1" shapeId="0" xr:uid="{EB30B948-9A81-4852-A857-CCB75FE0B796}">
      <text>
        <r>
          <rPr>
            <b/>
            <sz val="9"/>
            <color indexed="81"/>
            <rFont val="Tahoma"/>
            <family val="2"/>
          </rPr>
          <t>ARISTIDE KANGA:</t>
        </r>
        <r>
          <rPr>
            <sz val="9"/>
            <color indexed="81"/>
            <rFont val="Tahoma"/>
            <family val="2"/>
          </rPr>
          <t xml:space="preserve">
renseigner par sticker</t>
        </r>
      </text>
    </comment>
    <comment ref="I190" authorId="1" shapeId="0" xr:uid="{3AD872F4-2A45-4050-934D-ABAECAC141D8}">
      <text>
        <r>
          <rPr>
            <b/>
            <sz val="9"/>
            <color indexed="81"/>
            <rFont val="Tahoma"/>
            <family val="2"/>
          </rPr>
          <t>ARISTIDE KANGA:</t>
        </r>
        <r>
          <rPr>
            <sz val="9"/>
            <color indexed="81"/>
            <rFont val="Tahoma"/>
            <family val="2"/>
          </rPr>
          <t xml:space="preserve">
Renseiigné uniquement en unité
</t>
        </r>
      </text>
    </comment>
    <comment ref="H280" authorId="1" shapeId="0" xr:uid="{F2E5D1D8-7F72-48D7-AE28-D21741EFBEB8}">
      <text>
        <r>
          <rPr>
            <b/>
            <sz val="9"/>
            <color indexed="81"/>
            <rFont val="Tahoma"/>
            <family val="2"/>
          </rPr>
          <t>ARISTIDE KANGA:</t>
        </r>
        <r>
          <rPr>
            <sz val="9"/>
            <color indexed="81"/>
            <rFont val="Tahoma"/>
            <family val="2"/>
          </rPr>
          <t xml:space="preserve">
Renseigner le nombre de boite </t>
        </r>
      </text>
    </comment>
    <comment ref="H281" authorId="1" shapeId="0" xr:uid="{48DC1FB1-C8FB-4C3D-B0A1-4DE908B8E049}">
      <text>
        <r>
          <rPr>
            <b/>
            <sz val="9"/>
            <color indexed="81"/>
            <rFont val="Tahoma"/>
            <family val="2"/>
          </rPr>
          <t>ARISTIDE KANGA:</t>
        </r>
        <r>
          <rPr>
            <sz val="9"/>
            <color indexed="81"/>
            <rFont val="Tahoma"/>
            <family val="2"/>
          </rPr>
          <t xml:space="preserve">
Renseigner le nombre de boite 
</t>
        </r>
      </text>
    </comment>
    <comment ref="P281" authorId="1" shapeId="0" xr:uid="{32A574D8-CC2C-47DA-ACDB-51B2CA24DA7F}">
      <text>
        <r>
          <rPr>
            <b/>
            <sz val="9"/>
            <color indexed="81"/>
            <rFont val="Tahoma"/>
            <family val="2"/>
          </rPr>
          <t>ARISTIDE KANGA:</t>
        </r>
        <r>
          <rPr>
            <sz val="9"/>
            <color indexed="81"/>
            <rFont val="Tahoma"/>
            <family val="2"/>
          </rPr>
          <t xml:space="preserve">
Pièce</t>
        </r>
      </text>
    </comment>
  </commentList>
</comments>
</file>

<file path=xl/sharedStrings.xml><?xml version="1.0" encoding="utf-8"?>
<sst xmlns="http://schemas.openxmlformats.org/spreadsheetml/2006/main" count="1526" uniqueCount="608">
  <si>
    <t>SIA RR CI - INVENTAIRE DES STOCKS</t>
  </si>
  <si>
    <t>V310726</t>
  </si>
  <si>
    <t>SITE</t>
  </si>
  <si>
    <t>BK 1 - VGE</t>
  </si>
  <si>
    <t>DATE</t>
  </si>
  <si>
    <t>CATEGORIE</t>
  </si>
  <si>
    <t>Frns</t>
  </si>
  <si>
    <t>ARTICLE</t>
  </si>
  <si>
    <t>COLISAGE</t>
  </si>
  <si>
    <t>INVENTAIRE</t>
  </si>
  <si>
    <t>STOCK FINAL</t>
  </si>
  <si>
    <t>REPORT OMEGA</t>
  </si>
  <si>
    <t>Nb articles / carton</t>
  </si>
  <si>
    <t>Nb articles / inner</t>
  </si>
  <si>
    <t xml:space="preserve">Carton </t>
  </si>
  <si>
    <t>Inner</t>
  </si>
  <si>
    <t>Unités</t>
  </si>
  <si>
    <t>Nombre</t>
  </si>
  <si>
    <t>Unité</t>
  </si>
  <si>
    <t>Prix Unitaire</t>
  </si>
  <si>
    <t>Valeur stock</t>
  </si>
  <si>
    <t>Code Article</t>
  </si>
  <si>
    <t>Quantité (unité)</t>
  </si>
  <si>
    <t>Boissons</t>
  </si>
  <si>
    <t>SIA</t>
  </si>
  <si>
    <t>CAFE EN GRAINS 250 g</t>
  </si>
  <si>
    <t>Inner de 250 g</t>
  </si>
  <si>
    <t>CAFG01</t>
  </si>
  <si>
    <t>PRESSEA - Ananas 200ML</t>
  </si>
  <si>
    <t>Carton de 24</t>
  </si>
  <si>
    <t>BKPA200</t>
  </si>
  <si>
    <t>PRESSEA - Orange 200ML</t>
  </si>
  <si>
    <t>BKPO200</t>
  </si>
  <si>
    <t>PRESSEA - Pomme 200ML</t>
  </si>
  <si>
    <t>BKPP200</t>
  </si>
  <si>
    <t>PRESSEA - Cocktail 200ML</t>
  </si>
  <si>
    <t>BKPC200</t>
  </si>
  <si>
    <t>PRESSEA - Goyave 200ML</t>
  </si>
  <si>
    <t>BKPG200</t>
  </si>
  <si>
    <t>BOUTEILLE COCA COLA 50cL</t>
  </si>
  <si>
    <t>Pack de 6</t>
  </si>
  <si>
    <t>BTL-COCA 50CL</t>
  </si>
  <si>
    <t>BOUTEILLE COCA COLA 1.5L</t>
  </si>
  <si>
    <t>BTL-COCA 1.5L</t>
  </si>
  <si>
    <t>BOUTEILLE COCA COLA ZERO 50cL</t>
  </si>
  <si>
    <t>BTL-COCA Z 50CL</t>
  </si>
  <si>
    <t>BOUTEILLE COCA COLA 30cL</t>
  </si>
  <si>
    <t>Pack de 12</t>
  </si>
  <si>
    <t>BTL-COCA 30CL</t>
  </si>
  <si>
    <t>BOUTEILLE COCA COLA ZERO 30cL</t>
  </si>
  <si>
    <t>BTL-COCA Z 30CL</t>
  </si>
  <si>
    <t>EAU</t>
  </si>
  <si>
    <t>Pack de 9</t>
  </si>
  <si>
    <t>BKCI-EAU</t>
  </si>
  <si>
    <t>EAU KIRENE 50cl 12</t>
  </si>
  <si>
    <t>BKCI-EAUK13</t>
  </si>
  <si>
    <t>EAU KIRENE 50cl</t>
  </si>
  <si>
    <t>Pack de 16</t>
  </si>
  <si>
    <t>BKCI-EAUK</t>
  </si>
  <si>
    <t>BOUTEILLE FANTA 50cL</t>
  </si>
  <si>
    <t>BTL-FANTA 50CL</t>
  </si>
  <si>
    <t>BOUTEILLE FANTA 1.5L</t>
  </si>
  <si>
    <t>BTL-FANTA 1.5L</t>
  </si>
  <si>
    <t>BOUTEILLE FANTA 30cL</t>
  </si>
  <si>
    <t>BTL-FANTA 30CL</t>
  </si>
  <si>
    <t>BOUTEILLE FANTA COCKTAIL 30cL</t>
  </si>
  <si>
    <t>BTL-FANTA CKTL 30CL</t>
  </si>
  <si>
    <t>BOUTEILLE FANTA ANANAS 30cL</t>
  </si>
  <si>
    <t>BTL-FANTA ANS 30CL</t>
  </si>
  <si>
    <t>BOUTEILLE FANTA FRUITS ROUGES 30cL</t>
  </si>
  <si>
    <t>BTL-FANTA FR 30CL</t>
  </si>
  <si>
    <t>BOUTEILLE FANTA POMME 30cL</t>
  </si>
  <si>
    <t>BTL-FANTA PM 30CL</t>
  </si>
  <si>
    <t>BOUTEILLE SCHWEPPES AGRUMES 30cL</t>
  </si>
  <si>
    <t>BTL-SCHWAG 30CL</t>
  </si>
  <si>
    <t>BOUTEILLE MIRINDA ORANGE 30 CL</t>
  </si>
  <si>
    <t>BTL-MIRORA 30CL</t>
  </si>
  <si>
    <t>BOUTEILLE PEPSI ZERO 30CL</t>
  </si>
  <si>
    <t>BTL-PEPSIZERO 30CL</t>
  </si>
  <si>
    <t>BOUTEILLE PEPSI 30CL</t>
  </si>
  <si>
    <t>BTL-PEPSI 30CL</t>
  </si>
  <si>
    <t>BOUTEILLE MIRINDA FRUIT ROUGE 30 CL</t>
  </si>
  <si>
    <t>BTL-MIRFR 30CL</t>
  </si>
  <si>
    <t>7 UP 30 CL</t>
  </si>
  <si>
    <t>BTL-7UP 30CL</t>
  </si>
  <si>
    <t>BOUTEILLE PEPSI 1,5L</t>
  </si>
  <si>
    <t>BTL-PEPSI 1,5L</t>
  </si>
  <si>
    <t>CAN PEPSI 250 ml</t>
  </si>
  <si>
    <t>Pack de 24</t>
  </si>
  <si>
    <t>BKCI-PEPSI</t>
  </si>
  <si>
    <t>CANETTE PEPSI ZERO 25 CL</t>
  </si>
  <si>
    <t>Pack de 25</t>
  </si>
  <si>
    <t xml:space="preserve">CAN-PEPZER 25 CL </t>
  </si>
  <si>
    <t>BIERE BEAUFORT 33cl</t>
  </si>
  <si>
    <t>BKCI-BIERE 33CL</t>
  </si>
  <si>
    <t>BIERE BOCK 33cl</t>
  </si>
  <si>
    <t>BKCI-BOCK 33CL</t>
  </si>
  <si>
    <t>BIERE BOCK 50cl</t>
  </si>
  <si>
    <t>BKCI-BOCK 50CL</t>
  </si>
  <si>
    <t>MILO</t>
  </si>
  <si>
    <t>Sachet individuel</t>
  </si>
  <si>
    <t>BOUTEILLE SPRITE 50cL</t>
  </si>
  <si>
    <t>BTL-SPRITE 50CL</t>
  </si>
  <si>
    <t>BOUTEILLE SPRITE 1.5L</t>
  </si>
  <si>
    <t>BTL-SPRITE 1.5L</t>
  </si>
  <si>
    <t>BOUTEILLE SPRITE 30cL</t>
  </si>
  <si>
    <t>BTL-SPRITE 30CL</t>
  </si>
  <si>
    <t>BOUTEILLE ORANGINA 50cL</t>
  </si>
  <si>
    <t>BTL-ORANGINA 50CL</t>
  </si>
  <si>
    <t>ORANGINA 33CL</t>
  </si>
  <si>
    <t>BKCI-ORANGINA</t>
  </si>
  <si>
    <t>THE</t>
  </si>
  <si>
    <t>LAIT en Brique</t>
  </si>
  <si>
    <t>Pack de 12*1L</t>
  </si>
  <si>
    <t>LAIT en brique - PROSUMA</t>
  </si>
  <si>
    <t>LEB-PROSUMA</t>
  </si>
  <si>
    <t>LAIT en brique - PROSUMA_06</t>
  </si>
  <si>
    <t>Pack de 6*1L</t>
  </si>
  <si>
    <t>LEB-PROSUMA_06</t>
  </si>
  <si>
    <t>Nourriture - Surgelé</t>
  </si>
  <si>
    <t>CHICKEN WINGS</t>
  </si>
  <si>
    <t>Carton</t>
  </si>
  <si>
    <t>BKFR10</t>
  </si>
  <si>
    <t>CHICKEN WINGS - CAIRO</t>
  </si>
  <si>
    <t>BKFR101</t>
  </si>
  <si>
    <t>CHICKEN WHOPPER GRILLED</t>
  </si>
  <si>
    <t>BKFR37</t>
  </si>
  <si>
    <t>CHILI CHEESE BITES</t>
  </si>
  <si>
    <t>BKFR22</t>
  </si>
  <si>
    <t>CHILI CHEESE BITES NEW</t>
  </si>
  <si>
    <t>BKFR22N</t>
  </si>
  <si>
    <t>CHILI CHEESE BITES CONWAY</t>
  </si>
  <si>
    <t>BKFR22CNW</t>
  </si>
  <si>
    <t>CRISPY CHICKEN PATTY</t>
  </si>
  <si>
    <t>BKFR11</t>
  </si>
  <si>
    <t>CRISPY CHICKEN CAIRO</t>
  </si>
  <si>
    <t>BKFRCRO</t>
  </si>
  <si>
    <t xml:space="preserve">CHICKEN CRUNCHY FILLER </t>
  </si>
  <si>
    <t>BKFR14N</t>
  </si>
  <si>
    <t>VALUE PATTY CHICKEN  CRISPY</t>
  </si>
  <si>
    <t>BKFR39</t>
  </si>
  <si>
    <t>CHICKEN STRIPS</t>
  </si>
  <si>
    <t>BKFR40</t>
  </si>
  <si>
    <t>NUGGETS - CAIRO</t>
  </si>
  <si>
    <t>BKFR41</t>
  </si>
  <si>
    <t>FISH PATTY</t>
  </si>
  <si>
    <t>BKFR24</t>
  </si>
  <si>
    <t>FRITES</t>
  </si>
  <si>
    <t>BKFR07</t>
  </si>
  <si>
    <t>H1 4' Bun</t>
  </si>
  <si>
    <t>BKFR01</t>
  </si>
  <si>
    <t>4' Bun - Modern Bakeries</t>
  </si>
  <si>
    <t>BKFR25</t>
  </si>
  <si>
    <t>H1 4' Bun Local</t>
  </si>
  <si>
    <t>LOCFR01</t>
  </si>
  <si>
    <t>H1 4' Bun Local 01</t>
  </si>
  <si>
    <t>LOCFR04</t>
  </si>
  <si>
    <t>H2 5' Bun</t>
  </si>
  <si>
    <t>BKFR02</t>
  </si>
  <si>
    <t>H2 5' Bun Local</t>
  </si>
  <si>
    <t>LOCFR02</t>
  </si>
  <si>
    <t>5' Bun - Modern Bakeries</t>
  </si>
  <si>
    <t>BKFR26</t>
  </si>
  <si>
    <t>H3 7' Bun</t>
  </si>
  <si>
    <t>BKFR03</t>
  </si>
  <si>
    <t>7' Bun - Modern Bakeries</t>
  </si>
  <si>
    <t>BKFR27</t>
  </si>
  <si>
    <t>H3 7' Bun Local</t>
  </si>
  <si>
    <t>LOCFR03</t>
  </si>
  <si>
    <t>H4 Corn dusted 4,5' Bun</t>
  </si>
  <si>
    <t>BKFR04</t>
  </si>
  <si>
    <t>4,5' Bun Corn Dusted - Modern Bakeries</t>
  </si>
  <si>
    <t>BKFR28</t>
  </si>
  <si>
    <t>4' Bun - Delico</t>
  </si>
  <si>
    <t>BKFR25-DF</t>
  </si>
  <si>
    <t>5' Bun - Delico</t>
  </si>
  <si>
    <t>BKFR26-DF</t>
  </si>
  <si>
    <t>7' Bun - Delico</t>
  </si>
  <si>
    <t>BKFR27-DF</t>
  </si>
  <si>
    <t>4,5' Bun - Delico</t>
  </si>
  <si>
    <t>BKFR28-DF</t>
  </si>
  <si>
    <t xml:space="preserve">BUN 4’’ NOUGATINE </t>
  </si>
  <si>
    <t>LOCFRNO4</t>
  </si>
  <si>
    <t>BUN 5’’ NOUGATINE 48</t>
  </si>
  <si>
    <t xml:space="preserve">LOFRRNO548 </t>
  </si>
  <si>
    <t>HAMBURGER PATTY - Americana</t>
  </si>
  <si>
    <t>BKFR15</t>
  </si>
  <si>
    <t>HAMBURGER PATTY - Toledo</t>
  </si>
  <si>
    <t>BKFRTLH</t>
  </si>
  <si>
    <t>LONG CHICKEN PATTY</t>
  </si>
  <si>
    <t>BKFR09</t>
  </si>
  <si>
    <t>LONG CHICKEN PATTY - CAIRO</t>
  </si>
  <si>
    <t>BKFR09CAIRO</t>
  </si>
  <si>
    <t>MOZZARELLA STICKS BIS</t>
  </si>
  <si>
    <t>BKFRMZB</t>
  </si>
  <si>
    <t>MUFFIN CHOCOLAT</t>
  </si>
  <si>
    <t>BKFR29</t>
  </si>
  <si>
    <t>MUFFIN CHOCOLAT - NOUGATINE</t>
  </si>
  <si>
    <t>BKFR29-NOUG</t>
  </si>
  <si>
    <t>MUFFIN VANILLE - NOUGATINE</t>
  </si>
  <si>
    <t>BKFR30-NOUG</t>
  </si>
  <si>
    <t>NUGGETS (ALFEIN)</t>
  </si>
  <si>
    <t>BKFR12A</t>
  </si>
  <si>
    <t>ONION RINGS</t>
  </si>
  <si>
    <t>BKFR08</t>
  </si>
  <si>
    <t>ONION RINGS - Mc Cain</t>
  </si>
  <si>
    <t>ŒUFS FRITS - ANGULAS AGUINAGA</t>
  </si>
  <si>
    <t>BKFR33N</t>
  </si>
  <si>
    <t>TENDERCRISP PATTY</t>
  </si>
  <si>
    <t>BKFR13</t>
  </si>
  <si>
    <t>WHOPPER PATTY  - Americana</t>
  </si>
  <si>
    <t>BKFR16</t>
  </si>
  <si>
    <t>WHOPPER PATTY  - Toledo</t>
  </si>
  <si>
    <t>BKFRTLW</t>
  </si>
  <si>
    <t>Nourriture - Frais</t>
  </si>
  <si>
    <t>FROMAGE TRANCHE</t>
  </si>
  <si>
    <t>FROMAGE TRANCHE CONWAY</t>
  </si>
  <si>
    <t>FTC54295</t>
  </si>
  <si>
    <t>FROMAGE MEDHDI NEW</t>
  </si>
  <si>
    <t xml:space="preserve">CHEMEDH2 </t>
  </si>
  <si>
    <t>KIT KAT MIX</t>
  </si>
  <si>
    <t>Nourriture - Sec</t>
  </si>
  <si>
    <t>CONE GLACE - Conway</t>
  </si>
  <si>
    <t>CONE GLACE - Frosty Boy</t>
  </si>
  <si>
    <t>ASC224</t>
  </si>
  <si>
    <t>CONE GLACE – MEHDI</t>
  </si>
  <si>
    <t>CG-MEHDI001</t>
  </si>
  <si>
    <t>CONE GLACE 100</t>
  </si>
  <si>
    <t>CG-MEHDI002</t>
  </si>
  <si>
    <t>CORNICHONS</t>
  </si>
  <si>
    <t>CORNICHONS MEHDI</t>
  </si>
  <si>
    <t>Pot de 10 Kg</t>
  </si>
  <si>
    <t>845628MEHDI</t>
  </si>
  <si>
    <t>CRISPY ONIONS</t>
  </si>
  <si>
    <t xml:space="preserve">SAUCE CARAMEL MONIN </t>
  </si>
  <si>
    <t>POT DE 1,89 L</t>
  </si>
  <si>
    <t>999284-SCM</t>
  </si>
  <si>
    <t>DIP BBQ</t>
  </si>
  <si>
    <t xml:space="preserve">DIP CHIPOTLE RANCH </t>
  </si>
  <si>
    <t>DIP CHIPOTLE</t>
  </si>
  <si>
    <t>DIP CURRY</t>
  </si>
  <si>
    <t>DIP HOT SALSA</t>
  </si>
  <si>
    <t>DIP FRITE SAUCE - 25GR</t>
  </si>
  <si>
    <t>3534-1037</t>
  </si>
  <si>
    <t>DOSETTE FRITE SAUCE PORTION - 10GR</t>
  </si>
  <si>
    <t>DOSETTE KETCHUP PORTION - 10GR</t>
  </si>
  <si>
    <t>DOSETTE KETCHUP PUIDOR - 9GR</t>
  </si>
  <si>
    <t>PUIDOR518852</t>
  </si>
  <si>
    <t>DOSETTE KETCHUP MEHDI - 12ml</t>
  </si>
  <si>
    <t>MEHDI518852</t>
  </si>
  <si>
    <t>DOSETTE KETCHUP SIPRO - 11ml</t>
  </si>
  <si>
    <t>SIPRO518852</t>
  </si>
  <si>
    <t>HUILE AYA 25 L</t>
  </si>
  <si>
    <t>Bidon de 25 L</t>
  </si>
  <si>
    <t>A25L</t>
  </si>
  <si>
    <t>JALAPENOS</t>
  </si>
  <si>
    <t>JALAPENOS - ZEYTURSAN</t>
  </si>
  <si>
    <t>JALAPENOS - MEHDI</t>
  </si>
  <si>
    <t>MEHDI99262</t>
  </si>
  <si>
    <t>JALAPENOS - MEHDI LOCAL</t>
  </si>
  <si>
    <t>MEHDI L</t>
  </si>
  <si>
    <t>MAIS DOUX</t>
  </si>
  <si>
    <t>Pack de 12 boîtes</t>
  </si>
  <si>
    <t>MAIS DOUX 600 g</t>
  </si>
  <si>
    <t>CIVAMAIS600</t>
  </si>
  <si>
    <t>MIX Poudre</t>
  </si>
  <si>
    <t>D098.00.BKI</t>
  </si>
  <si>
    <t>OIGNONS FRITS KHUNE (PROSUMA)</t>
  </si>
  <si>
    <t>KHUFRIONPRO</t>
  </si>
  <si>
    <t>OIGNONS FRITS KHUNE (SUPERMARCHE)</t>
  </si>
  <si>
    <t>inner</t>
  </si>
  <si>
    <t>KHUFRIONSPM</t>
  </si>
  <si>
    <t>OREO MIX</t>
  </si>
  <si>
    <t>OREO MIX CREME</t>
  </si>
  <si>
    <t>TOBLERONE</t>
  </si>
  <si>
    <t>TBL090508</t>
  </si>
  <si>
    <t>SAUCE BBQ WESTERN</t>
  </si>
  <si>
    <t xml:space="preserve">SAUCE BBQ SIPRO </t>
  </si>
  <si>
    <t>SIPRO460162</t>
  </si>
  <si>
    <t>SAUCE BBQ PUIDOR</t>
  </si>
  <si>
    <t>PUIDOR460162</t>
  </si>
  <si>
    <t>SAUCE BIG KING</t>
  </si>
  <si>
    <t>SAUCE CARAMEL</t>
  </si>
  <si>
    <t>SAUCE CARAMEL SD</t>
  </si>
  <si>
    <t>902171SD</t>
  </si>
  <si>
    <t>SAUCE CHILI CHEESE</t>
  </si>
  <si>
    <t>SAUCE CHOCOLAT CARAMEL MONIN</t>
  </si>
  <si>
    <t>999284-CCM</t>
  </si>
  <si>
    <t>SAUCE CHOCOLAT NOIR MONIN</t>
  </si>
  <si>
    <t>999284-CNM</t>
  </si>
  <si>
    <t>SAUCE CHOCOLAT</t>
  </si>
  <si>
    <t>SAUCE FRAISE</t>
  </si>
  <si>
    <t>SAUCE KETCHUP</t>
  </si>
  <si>
    <t>SAUCE KETCHUP DOLLYS</t>
  </si>
  <si>
    <t>DOLL258822</t>
  </si>
  <si>
    <t>KETCHUP - Local</t>
  </si>
  <si>
    <t>KLOC258822</t>
  </si>
  <si>
    <t>SAUCE KETCHUP SIPRO 1Kg</t>
  </si>
  <si>
    <t>SIPRO258822</t>
  </si>
  <si>
    <t>SAUCE KETCHUP PUIDOR - MEHDI</t>
  </si>
  <si>
    <t>MEHDI258823</t>
  </si>
  <si>
    <t>TOMATE KETCHUP - MEHDI</t>
  </si>
  <si>
    <t>MEHDI258822</t>
  </si>
  <si>
    <t>SAUCE MAYONNAISE</t>
  </si>
  <si>
    <t>MAYONNAISE - Local</t>
  </si>
  <si>
    <t>MLOC58185</t>
  </si>
  <si>
    <t>SAUCE MAYO MEHDI</t>
  </si>
  <si>
    <t>MEHDI58185</t>
  </si>
  <si>
    <t>SAUCE MAYO PUIDOR</t>
  </si>
  <si>
    <t>PUIDOR58185</t>
  </si>
  <si>
    <t>MAYONNAISE PIMENTEE</t>
  </si>
  <si>
    <t>MAYOP350</t>
  </si>
  <si>
    <t xml:space="preserve">MOUTARDE JAUNE BISKISHOP </t>
  </si>
  <si>
    <t>Bidon de 3,78 L</t>
  </si>
  <si>
    <t xml:space="preserve"> MJBISK </t>
  </si>
  <si>
    <t>VINAIGRETTE NATURE (500 ml)</t>
  </si>
  <si>
    <t>Carton (12*500ml)</t>
  </si>
  <si>
    <t>VNAT500</t>
  </si>
  <si>
    <t>SAUCE MOUTARDE</t>
  </si>
  <si>
    <t>SAUCE MOUTARDE - Local</t>
  </si>
  <si>
    <t>SMTAR350</t>
  </si>
  <si>
    <t>SAUCE SALADE CESAR</t>
  </si>
  <si>
    <t>SAUCE SALADE CESAR 100</t>
  </si>
  <si>
    <t>950329-100</t>
  </si>
  <si>
    <t>SEL - Importé</t>
  </si>
  <si>
    <t>Sachet 1 Kg</t>
  </si>
  <si>
    <t>SEL - Local</t>
  </si>
  <si>
    <t>Sachet 0,9 Kg</t>
  </si>
  <si>
    <t>SEL FIN 500g</t>
  </si>
  <si>
    <t>Sachet 0,5 Kg</t>
  </si>
  <si>
    <t>SFL500</t>
  </si>
  <si>
    <t>SIROP CHOCOLAT SGG</t>
  </si>
  <si>
    <t>12*0,624 kg / carton</t>
  </si>
  <si>
    <t>SGS</t>
  </si>
  <si>
    <t>CONCOMBRE</t>
  </si>
  <si>
    <t>Gramme</t>
  </si>
  <si>
    <t>CONCOM</t>
  </si>
  <si>
    <t>OIGNONS NON EPLUCHES</t>
  </si>
  <si>
    <t>Kg</t>
  </si>
  <si>
    <t>NEPONION</t>
  </si>
  <si>
    <t>SALADE ICEBERG - Boule (YG)</t>
  </si>
  <si>
    <t>SALADEYG</t>
  </si>
  <si>
    <t>SALADE ICEBERG - Boule (SDB)</t>
  </si>
  <si>
    <t>SALADESDB</t>
  </si>
  <si>
    <t>SALADE ICEBERG - Boule (SDB-06)</t>
  </si>
  <si>
    <t>SALADESDB06</t>
  </si>
  <si>
    <t>SALADE ICEBERG - Boule (BS)</t>
  </si>
  <si>
    <t>SALADEBS</t>
  </si>
  <si>
    <t>SALADE ICEBERG BM</t>
  </si>
  <si>
    <t>SALADBM</t>
  </si>
  <si>
    <t>SALADE ICEBERG - Boule ( HOREB)</t>
  </si>
  <si>
    <t>SALH10</t>
  </si>
  <si>
    <t>PFI</t>
  </si>
  <si>
    <t>TOMATES PFI</t>
  </si>
  <si>
    <t>TOMAPFI01</t>
  </si>
  <si>
    <t>BNE</t>
  </si>
  <si>
    <t>TOMATES BENEVA</t>
  </si>
  <si>
    <t>TOMABENEVA</t>
  </si>
  <si>
    <t>BARBECUE SACHET 10 ML SIPRO</t>
  </si>
  <si>
    <t>250 sachet /Carton</t>
  </si>
  <si>
    <t>SIPROBBQ</t>
  </si>
  <si>
    <t>KETCHUP SACHET 10 ML SIPRO</t>
  </si>
  <si>
    <t>250K</t>
  </si>
  <si>
    <t>MAYO CHILI SACHET 10 ML SIRPO</t>
  </si>
  <si>
    <t>SIPROMCS</t>
  </si>
  <si>
    <t>DOSETTE FRITE SAUCE AMERIGO - 10GR</t>
  </si>
  <si>
    <t>AMGO923482</t>
  </si>
  <si>
    <t>DOSETTE AMERIGO – 10 GR</t>
  </si>
  <si>
    <t>AMGNEW</t>
  </si>
  <si>
    <t>SAUCE MAYONNAISE AMERIGO</t>
  </si>
  <si>
    <t>Carton de 4 * 3.8 kg</t>
  </si>
  <si>
    <t>AMGO58185</t>
  </si>
  <si>
    <t>SUCRE BUCHETTE</t>
  </si>
  <si>
    <t>Carton de 250 bûchettes</t>
  </si>
  <si>
    <t>BKSUC250</t>
  </si>
  <si>
    <t>Packaging</t>
  </si>
  <si>
    <t xml:space="preserve">AUTOCOLLANT LIVRAISON IMPRISUD </t>
  </si>
  <si>
    <t>8400 stickers par inner</t>
  </si>
  <si>
    <r>
      <t xml:space="preserve"> </t>
    </r>
    <r>
      <rPr>
        <b/>
        <sz val="10"/>
        <color rgb="FF1F4E79"/>
        <rFont val="Arial"/>
        <family val="2"/>
      </rPr>
      <t>IFBAA</t>
    </r>
  </si>
  <si>
    <t>AUTOCOLLANT LIVRAISON IMPRISUD BIS</t>
  </si>
  <si>
    <t>10500 stickers par inner</t>
  </si>
  <si>
    <r>
      <t xml:space="preserve"> </t>
    </r>
    <r>
      <rPr>
        <b/>
        <sz val="10"/>
        <color rgb="FF1F4E79"/>
        <rFont val="Arial"/>
        <family val="2"/>
      </rPr>
      <t>IFBAA</t>
    </r>
    <r>
      <rPr>
        <b/>
        <sz val="12"/>
        <color rgb="FF1F4E79"/>
        <rFont val="Calibri"/>
        <family val="2"/>
      </rPr>
      <t>BIS</t>
    </r>
  </si>
  <si>
    <t>BOITE A GATEAU</t>
  </si>
  <si>
    <t>Inner de 50</t>
  </si>
  <si>
    <t>MFBAR001</t>
  </si>
  <si>
    <t>BOITE ENFANT</t>
  </si>
  <si>
    <t>BOITE ENFANT 160</t>
  </si>
  <si>
    <t>OP23-02496</t>
  </si>
  <si>
    <t>BOL A SALADE</t>
  </si>
  <si>
    <t>BOL A SALADE NEW</t>
  </si>
  <si>
    <t>BZ08279</t>
  </si>
  <si>
    <t>BOL A SALADE NEW 200</t>
  </si>
  <si>
    <t>BSN200</t>
  </si>
  <si>
    <t>BOL PLASTIQUE 50 ml</t>
  </si>
  <si>
    <t>B50ML</t>
  </si>
  <si>
    <t xml:space="preserve">COFFRET A FRITE </t>
  </si>
  <si>
    <t>CAF</t>
  </si>
  <si>
    <t>COURONNE</t>
  </si>
  <si>
    <t>COURONNE 400</t>
  </si>
  <si>
    <t>779587-400</t>
  </si>
  <si>
    <t>COUVERCLE BOL A SALADE</t>
  </si>
  <si>
    <t>COUVERCLE GOBELET 25 CL</t>
  </si>
  <si>
    <t>COUVERCLE GOBELET 40/50CL</t>
  </si>
  <si>
    <t>COUVERCLE GOBELET 40/50CL - Conway</t>
  </si>
  <si>
    <t>BK-CG 40/50</t>
  </si>
  <si>
    <t>COUVERCLE TASSE CAFE 20 CL</t>
  </si>
  <si>
    <t>COUVERCLE TASSE CAFE 30/40 CL</t>
  </si>
  <si>
    <t>BK-CTC 30/40</t>
  </si>
  <si>
    <t>COUVERCLE TASSE EXPRESSO</t>
  </si>
  <si>
    <t>FUSION COUVERCLE</t>
  </si>
  <si>
    <t>FUSION CUILLERE</t>
  </si>
  <si>
    <t>FUSION CUILLERE BOIS</t>
  </si>
  <si>
    <t>WS00001</t>
  </si>
  <si>
    <t>FUSION CUP</t>
  </si>
  <si>
    <t>FUSION CUP CONWAY</t>
  </si>
  <si>
    <t>27404A</t>
  </si>
  <si>
    <t>GOBELET 25 CL</t>
  </si>
  <si>
    <t>GOBELET 25 CL - Conway</t>
  </si>
  <si>
    <t>GOBELET 40 CL</t>
  </si>
  <si>
    <t>GOBELET 50 CL</t>
  </si>
  <si>
    <t>JOUETS ENFANT</t>
  </si>
  <si>
    <t>JOUETMAO</t>
  </si>
  <si>
    <t>LIVRET DE JEUX</t>
  </si>
  <si>
    <t>LDJ001</t>
  </si>
  <si>
    <t>Kit Couvert - Bois</t>
  </si>
  <si>
    <t>WOODCS250</t>
  </si>
  <si>
    <t xml:space="preserve">Kit couvert BISKISHOP </t>
  </si>
  <si>
    <t>7778A</t>
  </si>
  <si>
    <t>PAILLE MILKSHAKE (PAPIER)</t>
  </si>
  <si>
    <t>Pack de 200</t>
  </si>
  <si>
    <t>28725PAP</t>
  </si>
  <si>
    <t>PAILLE SODAS (PAPIER)</t>
  </si>
  <si>
    <t>Carton de 3500</t>
  </si>
  <si>
    <t>760611PAP</t>
  </si>
  <si>
    <t>PETITE CUILLERE SACHET INDIVIDUEL - Local</t>
  </si>
  <si>
    <t>LOC492744</t>
  </si>
  <si>
    <t>Porte Gobelet</t>
  </si>
  <si>
    <t>Sac à emporter grand (250p)</t>
  </si>
  <si>
    <t>Sac à emporter moyen (1000p)</t>
  </si>
  <si>
    <t>Sac à emporter petit (1000p)</t>
  </si>
  <si>
    <t>SAC ENFANT</t>
  </si>
  <si>
    <t>SCEFT400</t>
  </si>
  <si>
    <t>SAC ENFANT 1000</t>
  </si>
  <si>
    <t>SCEFT1000</t>
  </si>
  <si>
    <t>SACHET FRITES GRAND</t>
  </si>
  <si>
    <t>SACHET FRITES MOYEN</t>
  </si>
  <si>
    <t>SACHET FRITES PETIT</t>
  </si>
  <si>
    <t>SACHET FRITES PETIT 4000</t>
  </si>
  <si>
    <t>SFP4000</t>
  </si>
  <si>
    <t>SACHET SNACK GRAND</t>
  </si>
  <si>
    <t>SACHET SNACK GRAND 3000</t>
  </si>
  <si>
    <t>SSG3000</t>
  </si>
  <si>
    <t>SACHET SNACK MOYEN</t>
  </si>
  <si>
    <t>SACHET FRITES - SIKO</t>
  </si>
  <si>
    <t>73101SIKO</t>
  </si>
  <si>
    <t>SACHET SNACK MOYEN 2000</t>
  </si>
  <si>
    <t>SSM30700</t>
  </si>
  <si>
    <t>SACHET SNACK MOYEN 4000</t>
  </si>
  <si>
    <t xml:space="preserve">SAC KRAFT BRUN 25 x 30 x 13 </t>
  </si>
  <si>
    <t>KRAFT800</t>
  </si>
  <si>
    <t>SANDY PAPER CUP</t>
  </si>
  <si>
    <t>SPC3F180286</t>
  </si>
  <si>
    <t>SERVIETTES INTERFOLIE</t>
  </si>
  <si>
    <t>PAP00087</t>
  </si>
  <si>
    <t>SERVIETTES PAPYRUS</t>
  </si>
  <si>
    <t>SSTBHT0400</t>
  </si>
  <si>
    <t>SERVIETTES NANO</t>
  </si>
  <si>
    <t>SERVNANO001</t>
  </si>
  <si>
    <t>SET A PLATEAU</t>
  </si>
  <si>
    <t>Pack de 500</t>
  </si>
  <si>
    <t>SAP001</t>
  </si>
  <si>
    <t>SNACK BUCKET</t>
  </si>
  <si>
    <t>SNBU001</t>
  </si>
  <si>
    <t>SNACK BUCKET NEW</t>
  </si>
  <si>
    <t>SNBU002</t>
  </si>
  <si>
    <t>COUVERCLE SNACK BUCKET NEW</t>
  </si>
  <si>
    <t>LID-SNBU002</t>
  </si>
  <si>
    <t>Sundae Cup</t>
  </si>
  <si>
    <t>TASSE CAFE 20 CL</t>
  </si>
  <si>
    <t>BK-TC 20CL</t>
  </si>
  <si>
    <t>TASSE CAFE 20CL CONWAY</t>
  </si>
  <si>
    <t>BK-TC 20CL B</t>
  </si>
  <si>
    <t>TASSE CAFE 30CL</t>
  </si>
  <si>
    <t>Tasse expresso</t>
  </si>
  <si>
    <t>Wrap Big King XL</t>
  </si>
  <si>
    <t>WRAP DBL CHEESE/SMALL SPEC</t>
  </si>
  <si>
    <t>WRAP GOURMET</t>
  </si>
  <si>
    <t>WRAPG2X1000</t>
  </si>
  <si>
    <t>WRAP HAMB/CHEESEBURGER</t>
  </si>
  <si>
    <t>WRAP HAMB/CHEESEBURGER-5000</t>
  </si>
  <si>
    <t>WHCB5000</t>
  </si>
  <si>
    <t>Wrap Long Chicken</t>
  </si>
  <si>
    <t>WRAP MULTI PETIT 5000</t>
  </si>
  <si>
    <t>WRAPMP5000</t>
  </si>
  <si>
    <t>WRAP MULTI GRAND 3000</t>
  </si>
  <si>
    <t>WRAPMG3000</t>
  </si>
  <si>
    <t>WRAP MULTI GRAND</t>
  </si>
  <si>
    <t>WRAPMG2000</t>
  </si>
  <si>
    <t>Wrap Steakhouse</t>
  </si>
  <si>
    <t>Wrap Tendercrisp</t>
  </si>
  <si>
    <t>Wrap Whopper</t>
  </si>
  <si>
    <t>Wrap Whopper Jr</t>
  </si>
  <si>
    <t>Produits de Nettoyage</t>
  </si>
  <si>
    <t>ACTIGEL</t>
  </si>
  <si>
    <t>ANTIBACTERIAL HAND SOAP &amp; EPICARE</t>
  </si>
  <si>
    <t>AROMIST REFILL</t>
  </si>
  <si>
    <t>AROMIST STARTER KIT</t>
  </si>
  <si>
    <t>AMH FOAM</t>
  </si>
  <si>
    <t>BACTIGEL GEL 1 LITRE</t>
  </si>
  <si>
    <t>BACT1</t>
  </si>
  <si>
    <t>BALAIS - Bleu</t>
  </si>
  <si>
    <t>BALAIS - Jaune</t>
  </si>
  <si>
    <t>BALAIS - Rouge</t>
  </si>
  <si>
    <t>BROSSE - Bleu</t>
  </si>
  <si>
    <t>BROSSE - Jaune</t>
  </si>
  <si>
    <t>BROSSE - Rouge</t>
  </si>
  <si>
    <t>BROSSE BOUTEILLE KETCHUP</t>
  </si>
  <si>
    <t>BROSSE A ONGLES</t>
  </si>
  <si>
    <t>DEGREASER</t>
  </si>
  <si>
    <t>DELIMER</t>
  </si>
  <si>
    <t xml:space="preserve">CHARLOTTES PROMASTER </t>
  </si>
  <si>
    <t>Pack de 100</t>
  </si>
  <si>
    <t>Y01000030 P</t>
  </si>
  <si>
    <t>CHLORINE TEST STRIPS</t>
  </si>
  <si>
    <t>CHLORINE TEST STRIPS NEW</t>
  </si>
  <si>
    <t>10021341NEW</t>
  </si>
  <si>
    <t>FREEZER/COOLER CLEANER</t>
  </si>
  <si>
    <t>FRYER CLEANSER</t>
  </si>
  <si>
    <t>GANTS NITRILE BLEU NON POUDRE - boite 100</t>
  </si>
  <si>
    <t>Boîte</t>
  </si>
  <si>
    <t>GNBNP-100</t>
  </si>
  <si>
    <t>GANTS VINYL BLEU NON POUDRE - boite 100</t>
  </si>
  <si>
    <t>GANTS SACHET PACK DE 100</t>
  </si>
  <si>
    <t>Inner de 100</t>
  </si>
  <si>
    <t>GANTS SACHET PACK DE 500</t>
  </si>
  <si>
    <t>Boite de 500</t>
  </si>
  <si>
    <t>GLASS &amp; MULTISURFACE CLEANER</t>
  </si>
  <si>
    <t>GRAFFITI REMOVER (PEP-EX)</t>
  </si>
  <si>
    <t>HEAT ACTIVATED GRILL &amp; TOASTER CLEANER</t>
  </si>
  <si>
    <t>HI TEMP BROILER - NO SCRATCH PAD</t>
  </si>
  <si>
    <t>HI TEMP FRYER - PAD</t>
  </si>
  <si>
    <t>SUPER CONTACT CLEANER</t>
  </si>
  <si>
    <t>KOTE SOIL SHIELD</t>
  </si>
  <si>
    <t>KAY POWER PAD</t>
  </si>
  <si>
    <t>KAY 5</t>
  </si>
  <si>
    <t>KAY-5 SANITIZER</t>
  </si>
  <si>
    <t>LAVETTE - Bleu</t>
  </si>
  <si>
    <t>LAVETTE - Jaune</t>
  </si>
  <si>
    <t>LAVETTE - Rouge</t>
  </si>
  <si>
    <t>LAVETTE - Vert</t>
  </si>
  <si>
    <t>MULTIPURPOSE CONCENTRATE</t>
  </si>
  <si>
    <t>Bidon de 10 L</t>
  </si>
  <si>
    <t>ORION SOFT CARE PLUS PURE</t>
  </si>
  <si>
    <t>OVEN CLEANER</t>
  </si>
  <si>
    <t>PAPIER TOILETTE JUMBO (18 ROULEAUX)</t>
  </si>
  <si>
    <t>Pack de 18</t>
  </si>
  <si>
    <t>PAP00075</t>
  </si>
  <si>
    <t>QUARRY TILE FLOOR CLEANER</t>
  </si>
  <si>
    <t>RACLETTE - Rouge</t>
  </si>
  <si>
    <t>RACLETTE - Bleu</t>
  </si>
  <si>
    <t>RESTROOM CLEANER</t>
  </si>
  <si>
    <t>ROULEAU ADVANCED</t>
  </si>
  <si>
    <t>PACK</t>
  </si>
  <si>
    <t>SESTIM0800</t>
  </si>
  <si>
    <t>ROULEAU ESSUIE TOUT</t>
  </si>
  <si>
    <t>PAP00129</t>
  </si>
  <si>
    <t>ROULEAU ESSUIE TOUT - NANO</t>
  </si>
  <si>
    <t>PAP001NANO</t>
  </si>
  <si>
    <t>ROULEAU ESSUIE TOUT - 1*3</t>
  </si>
  <si>
    <t>Pack de 03</t>
  </si>
  <si>
    <t>PAP00130</t>
  </si>
  <si>
    <t>ROULEAU PH SMARTON 1*1</t>
  </si>
  <si>
    <t>SESTIM0050</t>
  </si>
  <si>
    <t>ROOM CARE ECO</t>
  </si>
  <si>
    <t>6 X 1L / carton</t>
  </si>
  <si>
    <t xml:space="preserve"> rom2025</t>
  </si>
  <si>
    <t>SAC POUBELLE - GM - Transparent</t>
  </si>
  <si>
    <t>Pack de 50</t>
  </si>
  <si>
    <t>SAC60*100T</t>
  </si>
  <si>
    <t>SAC POUBELLE - PM - Transparent</t>
  </si>
  <si>
    <t>Pack de 250</t>
  </si>
  <si>
    <t>SAC55*80</t>
  </si>
  <si>
    <t>SANICHLOR</t>
  </si>
  <si>
    <t xml:space="preserve">SANITIZER TABLETTE </t>
  </si>
  <si>
    <t>2600320ST</t>
  </si>
  <si>
    <t>SERPILLERE - Bleu</t>
  </si>
  <si>
    <t>940902BK</t>
  </si>
  <si>
    <t>SERPILLERE - Jaune</t>
  </si>
  <si>
    <t>940906BK</t>
  </si>
  <si>
    <t>SERPILLERE - Rouge</t>
  </si>
  <si>
    <t>SERPILLERE - Vert</t>
  </si>
  <si>
    <t>940910BK</t>
  </si>
  <si>
    <t>SINK SANITIZER</t>
  </si>
  <si>
    <t>SINK SANITIZER TABLETS</t>
  </si>
  <si>
    <t>1000234TBL</t>
  </si>
  <si>
    <t>STAINLESS CLEANER &amp; POLISH</t>
  </si>
  <si>
    <t>SUPERSOAK CONCENTRATE</t>
  </si>
  <si>
    <t>Bidon 10 L</t>
  </si>
  <si>
    <t>SUMA CARBON REMOVER</t>
  </si>
  <si>
    <t>PULY CAFF POWER</t>
  </si>
  <si>
    <t>PCAF591208</t>
  </si>
  <si>
    <t>WMF LIQUIDE BLEU</t>
  </si>
  <si>
    <t>Bidon</t>
  </si>
  <si>
    <t>o314006206</t>
  </si>
  <si>
    <t>WMF PASTILLES</t>
  </si>
  <si>
    <t>Pot de 100 pastilles</t>
  </si>
  <si>
    <t>o394696021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</si>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</sst>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\ _C_F_A_-;\-* #,##0\ _C_F_A_-;_-* &quot;-&quot;\ _C_F_A_-;_-@_-"/>
    <numFmt numFmtId="167" formatCode="_-* #,##0.00\ _C_F_A_-;\-* #,##0.00\ _C_F_A_-;_-* &quot;-&quot;\ _C_F_A_-;_-@_-"/>
  </numFmts>
  <fonts count="30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u/>
      <sz val="10"/>
      <color rgb="FF002060"/>
      <name val="Calibri"/>
      <family val="2"/>
    </font>
    <font>
      <sz val="10"/>
      <color theme="4" tint="0.59999389629810485"/>
      <name val="Calibri"/>
      <family val="2"/>
    </font>
    <font>
      <sz val="10"/>
      <color rgb="FFA8D08E"/>
      <name val="Calibri"/>
      <family val="2"/>
    </font>
    <font>
      <sz val="10"/>
      <name val="Calibri"/>
      <family val="2"/>
    </font>
    <font>
      <b/>
      <sz val="10"/>
      <color rgb="FF002060"/>
      <name val="Calibri"/>
      <family val="2"/>
    </font>
    <font>
      <b/>
      <sz val="10"/>
      <color rgb="FFFF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2060"/>
      <name val="Calibri"/>
      <family val="2"/>
    </font>
    <font>
      <sz val="11"/>
      <color rgb="FF000000"/>
      <name val="Calibri"/>
      <family val="2"/>
    </font>
    <font>
      <b/>
      <sz val="12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C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Aptos Narrow"/>
      <family val="2"/>
      <scheme val="minor"/>
    </font>
    <font>
      <b/>
      <sz val="12"/>
      <color rgb="FFFF000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1" tint="4.9989318521683403E-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1F4E79"/>
      <name val="Calibri"/>
      <family val="2"/>
    </font>
    <font>
      <b/>
      <sz val="10"/>
      <color rgb="FF1F4E79"/>
      <name val="Arial"/>
      <family val="2"/>
    </font>
    <font>
      <sz val="12"/>
      <color rgb="FF163E64"/>
      <name val="Aptos"/>
      <family val="2"/>
    </font>
    <font>
      <b/>
      <sz val="12"/>
      <color rgb="FFFFFFFF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8CEB2"/>
        <bgColor indexed="64"/>
      </patternFill>
    </fill>
    <fill>
      <patternFill patternType="mediumGray">
        <bgColor rgb="FFF8CEB2"/>
      </patternFill>
    </fill>
    <fill>
      <patternFill patternType="mediumGray">
        <bgColor theme="5" tint="0.5999938962981048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AAC"/>
        <bgColor indexed="64"/>
      </patternFill>
    </fill>
    <fill>
      <patternFill patternType="mediumGray">
        <bgColor rgb="FFF7CAAC"/>
      </patternFill>
    </fill>
    <fill>
      <patternFill patternType="solid">
        <fgColor rgb="FFBED7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mediumGray">
        <bgColor rgb="FFBED7EE"/>
      </patternFill>
    </fill>
    <fill>
      <patternFill patternType="mediumGray">
        <bgColor theme="4" tint="0.59999389629810485"/>
      </patternFill>
    </fill>
    <fill>
      <patternFill patternType="solid">
        <fgColor rgb="FFFFCCCC"/>
        <bgColor indexed="64"/>
      </patternFill>
    </fill>
    <fill>
      <patternFill patternType="solid">
        <fgColor rgb="FFFBE4D5"/>
        <bgColor indexed="64"/>
      </patternFill>
    </fill>
    <fill>
      <patternFill patternType="mediumGray">
        <bgColor rgb="FFFBE4D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9"/>
        <bgColor indexed="64"/>
      </patternFill>
    </fill>
    <fill>
      <patternFill patternType="mediumGray"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mediumGray">
        <bgColor theme="9" tint="0.79998168889431442"/>
      </patternFill>
    </fill>
    <fill>
      <patternFill patternType="solid">
        <fgColor rgb="FFFFD1D1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medium">
        <color rgb="FFC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164" fontId="11" fillId="0" borderId="0">
      <protection locked="0"/>
    </xf>
  </cellStyleXfs>
  <cellXfs count="3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0" borderId="0" xfId="1" applyFont="1" applyAlignment="1"/>
    <xf numFmtId="0" fontId="4" fillId="0" borderId="0" xfId="1" applyFont="1" applyAlignment="1">
      <alignment horizontal="center"/>
    </xf>
    <xf numFmtId="0" fontId="5" fillId="0" borderId="0" xfId="1" applyFont="1" applyAlignment="1"/>
    <xf numFmtId="0" fontId="1" fillId="0" borderId="0" xfId="1">
      <alignment vertic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7" fillId="2" borderId="4" xfId="1" applyFont="1" applyFill="1" applyBorder="1" applyAlignment="1" applyProtection="1">
      <alignment horizontal="center"/>
      <protection locked="0"/>
    </xf>
    <xf numFmtId="14" fontId="7" fillId="2" borderId="0" xfId="1" applyNumberFormat="1" applyFont="1" applyFill="1" applyAlignment="1" applyProtection="1">
      <alignment horizontal="center"/>
      <protection locked="0"/>
    </xf>
    <xf numFmtId="2" fontId="5" fillId="0" borderId="0" xfId="1" applyNumberFormat="1" applyFont="1" applyAlignment="1">
      <alignment horizont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0" borderId="8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9" fillId="0" borderId="0" xfId="1" applyFont="1" applyAlignment="1"/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0" fontId="8" fillId="3" borderId="16" xfId="1" applyFont="1" applyFill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/>
    </xf>
    <xf numFmtId="0" fontId="8" fillId="3" borderId="20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2" fontId="8" fillId="0" borderId="17" xfId="1" applyNumberFormat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8" fillId="4" borderId="24" xfId="1" applyFont="1" applyFill="1" applyBorder="1" applyAlignment="1">
      <alignment horizontal="center" vertical="center" wrapText="1"/>
    </xf>
    <xf numFmtId="0" fontId="8" fillId="5" borderId="25" xfId="1" applyFont="1" applyFill="1" applyBorder="1" applyAlignment="1">
      <alignment horizontal="center" vertical="center"/>
    </xf>
    <xf numFmtId="0" fontId="8" fillId="5" borderId="26" xfId="1" applyFont="1" applyFill="1" applyBorder="1" applyAlignment="1">
      <alignment horizontal="center" vertical="center"/>
    </xf>
    <xf numFmtId="0" fontId="8" fillId="5" borderId="27" xfId="1" applyFont="1" applyFill="1" applyBorder="1" applyAlignment="1"/>
    <xf numFmtId="165" fontId="8" fillId="5" borderId="28" xfId="2" applyNumberFormat="1" applyFont="1" applyFill="1" applyBorder="1" applyAlignment="1" applyProtection="1">
      <alignment horizontal="center"/>
    </xf>
    <xf numFmtId="165" fontId="8" fillId="6" borderId="27" xfId="2" applyNumberFormat="1" applyFont="1" applyFill="1" applyBorder="1" applyProtection="1"/>
    <xf numFmtId="0" fontId="12" fillId="7" borderId="8" xfId="1" applyFont="1" applyFill="1" applyBorder="1" applyAlignment="1" applyProtection="1">
      <alignment horizontal="center"/>
      <protection locked="0"/>
    </xf>
    <xf numFmtId="0" fontId="12" fillId="8" borderId="10" xfId="1" applyFont="1" applyFill="1" applyBorder="1" applyAlignment="1" applyProtection="1">
      <alignment horizontal="center"/>
      <protection locked="0"/>
    </xf>
    <xf numFmtId="0" fontId="12" fillId="7" borderId="11" xfId="1" applyFont="1" applyFill="1" applyBorder="1" applyAlignment="1" applyProtection="1">
      <alignment horizontal="center"/>
      <protection locked="0"/>
    </xf>
    <xf numFmtId="2" fontId="8" fillId="5" borderId="29" xfId="1" applyNumberFormat="1" applyFont="1" applyFill="1" applyBorder="1" applyAlignment="1">
      <alignment horizontal="center"/>
    </xf>
    <xf numFmtId="0" fontId="8" fillId="5" borderId="27" xfId="1" applyFont="1" applyFill="1" applyBorder="1" applyAlignment="1">
      <alignment horizontal="center"/>
    </xf>
    <xf numFmtId="166" fontId="8" fillId="5" borderId="26" xfId="1" applyNumberFormat="1" applyFont="1" applyFill="1" applyBorder="1" applyAlignment="1"/>
    <xf numFmtId="166" fontId="8" fillId="5" borderId="30" xfId="1" applyNumberFormat="1" applyFont="1" applyFill="1" applyBorder="1" applyAlignment="1"/>
    <xf numFmtId="164" fontId="9" fillId="0" borderId="0" xfId="2" applyFont="1" applyProtection="1"/>
    <xf numFmtId="0" fontId="10" fillId="5" borderId="24" xfId="1" applyFont="1" applyFill="1" applyBorder="1" applyAlignment="1">
      <alignment horizontal="left"/>
    </xf>
    <xf numFmtId="164" fontId="9" fillId="5" borderId="24" xfId="2" applyFont="1" applyFill="1" applyBorder="1" applyProtection="1"/>
    <xf numFmtId="165" fontId="9" fillId="0" borderId="0" xfId="2" applyNumberFormat="1" applyFont="1" applyProtection="1"/>
    <xf numFmtId="0" fontId="8" fillId="9" borderId="25" xfId="1" applyFont="1" applyFill="1" applyBorder="1" applyAlignment="1">
      <alignment horizontal="center" vertical="center"/>
    </xf>
    <xf numFmtId="0" fontId="8" fillId="9" borderId="26" xfId="1" applyFont="1" applyFill="1" applyBorder="1" applyAlignment="1">
      <alignment horizontal="center" vertical="center"/>
    </xf>
    <xf numFmtId="0" fontId="8" fillId="9" borderId="31" xfId="1" applyFont="1" applyFill="1" applyBorder="1" applyAlignment="1"/>
    <xf numFmtId="165" fontId="8" fillId="9" borderId="25" xfId="2" applyNumberFormat="1" applyFont="1" applyFill="1" applyBorder="1" applyAlignment="1" applyProtection="1">
      <alignment horizontal="center"/>
    </xf>
    <xf numFmtId="165" fontId="8" fillId="10" borderId="31" xfId="2" applyNumberFormat="1" applyFont="1" applyFill="1" applyBorder="1" applyProtection="1"/>
    <xf numFmtId="0" fontId="12" fillId="5" borderId="25" xfId="1" applyFont="1" applyFill="1" applyBorder="1" applyAlignment="1" applyProtection="1">
      <alignment horizontal="center"/>
      <protection locked="0"/>
    </xf>
    <xf numFmtId="0" fontId="12" fillId="7" borderId="26" xfId="1" applyFont="1" applyFill="1" applyBorder="1" applyAlignment="1" applyProtection="1">
      <alignment horizontal="center"/>
      <protection locked="0"/>
    </xf>
    <xf numFmtId="0" fontId="12" fillId="8" borderId="30" xfId="1" applyFont="1" applyFill="1" applyBorder="1" applyAlignment="1" applyProtection="1">
      <alignment horizontal="center"/>
      <protection locked="0"/>
    </xf>
    <xf numFmtId="2" fontId="8" fillId="9" borderId="29" xfId="1" applyNumberFormat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/>
    </xf>
    <xf numFmtId="0" fontId="12" fillId="6" borderId="26" xfId="1" applyFont="1" applyFill="1" applyBorder="1" applyAlignment="1" applyProtection="1">
      <alignment horizontal="center"/>
      <protection locked="0"/>
    </xf>
    <xf numFmtId="0" fontId="8" fillId="5" borderId="31" xfId="1" applyFont="1" applyFill="1" applyBorder="1" applyAlignment="1">
      <alignment horizontal="center"/>
    </xf>
    <xf numFmtId="0" fontId="8" fillId="5" borderId="31" xfId="1" applyFont="1" applyFill="1" applyBorder="1" applyAlignment="1"/>
    <xf numFmtId="165" fontId="8" fillId="5" borderId="25" xfId="2" applyNumberFormat="1" applyFont="1" applyFill="1" applyBorder="1" applyAlignment="1" applyProtection="1">
      <alignment horizontal="center"/>
    </xf>
    <xf numFmtId="165" fontId="8" fillId="6" borderId="31" xfId="2" applyNumberFormat="1" applyFont="1" applyFill="1" applyBorder="1" applyProtection="1"/>
    <xf numFmtId="0" fontId="13" fillId="0" borderId="0" xfId="1" applyFont="1" applyAlignment="1"/>
    <xf numFmtId="165" fontId="14" fillId="9" borderId="25" xfId="2" applyNumberFormat="1" applyFont="1" applyFill="1" applyBorder="1" applyAlignment="1" applyProtection="1">
      <alignment horizontal="center"/>
    </xf>
    <xf numFmtId="0" fontId="8" fillId="11" borderId="25" xfId="1" applyFont="1" applyFill="1" applyBorder="1" applyAlignment="1">
      <alignment horizontal="center" vertical="center"/>
    </xf>
    <xf numFmtId="0" fontId="8" fillId="11" borderId="26" xfId="1" applyFont="1" applyFill="1" applyBorder="1" applyAlignment="1">
      <alignment horizontal="center" vertical="center"/>
    </xf>
    <xf numFmtId="0" fontId="8" fillId="11" borderId="31" xfId="1" applyFont="1" applyFill="1" applyBorder="1" applyAlignment="1"/>
    <xf numFmtId="165" fontId="8" fillId="11" borderId="25" xfId="2" applyNumberFormat="1" applyFont="1" applyFill="1" applyBorder="1" applyAlignment="1" applyProtection="1">
      <alignment horizontal="center"/>
    </xf>
    <xf numFmtId="165" fontId="8" fillId="11" borderId="31" xfId="2" applyNumberFormat="1" applyFont="1" applyFill="1" applyBorder="1" applyProtection="1"/>
    <xf numFmtId="0" fontId="12" fillId="12" borderId="25" xfId="1" applyFont="1" applyFill="1" applyBorder="1" applyAlignment="1" applyProtection="1">
      <alignment horizontal="center"/>
      <protection locked="0"/>
    </xf>
    <xf numFmtId="2" fontId="8" fillId="11" borderId="29" xfId="1" applyNumberFormat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/>
    </xf>
    <xf numFmtId="166" fontId="8" fillId="11" borderId="30" xfId="1" applyNumberFormat="1" applyFont="1" applyFill="1" applyBorder="1" applyAlignment="1"/>
    <xf numFmtId="166" fontId="8" fillId="12" borderId="30" xfId="1" applyNumberFormat="1" applyFont="1" applyFill="1" applyBorder="1" applyAlignment="1"/>
    <xf numFmtId="0" fontId="10" fillId="11" borderId="24" xfId="1" applyFont="1" applyFill="1" applyBorder="1" applyAlignment="1">
      <alignment horizontal="left"/>
    </xf>
    <xf numFmtId="164" fontId="9" fillId="11" borderId="24" xfId="2" applyFont="1" applyFill="1" applyBorder="1" applyProtection="1"/>
    <xf numFmtId="164" fontId="9" fillId="0" borderId="0" xfId="1" applyNumberFormat="1" applyFont="1" applyAlignment="1"/>
    <xf numFmtId="0" fontId="12" fillId="12" borderId="26" xfId="1" applyFont="1" applyFill="1" applyBorder="1" applyAlignment="1" applyProtection="1">
      <alignment horizontal="center"/>
      <protection locked="0"/>
    </xf>
    <xf numFmtId="0" fontId="12" fillId="12" borderId="30" xfId="1" applyFont="1" applyFill="1" applyBorder="1" applyAlignment="1" applyProtection="1">
      <alignment horizontal="center"/>
      <protection locked="0"/>
    </xf>
    <xf numFmtId="0" fontId="8" fillId="13" borderId="31" xfId="1" applyFont="1" applyFill="1" applyBorder="1" applyAlignment="1">
      <alignment horizontal="center"/>
    </xf>
    <xf numFmtId="0" fontId="8" fillId="13" borderId="26" xfId="1" applyFont="1" applyFill="1" applyBorder="1" applyAlignment="1">
      <alignment horizontal="center"/>
    </xf>
    <xf numFmtId="165" fontId="8" fillId="12" borderId="25" xfId="2" applyNumberFormat="1" applyFont="1" applyFill="1" applyBorder="1" applyAlignment="1" applyProtection="1">
      <alignment horizontal="center"/>
    </xf>
    <xf numFmtId="165" fontId="8" fillId="12" borderId="31" xfId="2" applyNumberFormat="1" applyFont="1" applyFill="1" applyBorder="1" applyProtection="1"/>
    <xf numFmtId="0" fontId="8" fillId="12" borderId="31" xfId="1" applyFont="1" applyFill="1" applyBorder="1" applyAlignment="1">
      <alignment horizontal="center"/>
    </xf>
    <xf numFmtId="0" fontId="15" fillId="11" borderId="25" xfId="1" applyFont="1" applyFill="1" applyBorder="1" applyAlignment="1">
      <alignment horizontal="center" vertical="center"/>
    </xf>
    <xf numFmtId="0" fontId="15" fillId="11" borderId="26" xfId="1" applyFont="1" applyFill="1" applyBorder="1" applyAlignment="1">
      <alignment horizontal="center" vertical="center"/>
    </xf>
    <xf numFmtId="0" fontId="15" fillId="11" borderId="31" xfId="1" applyFont="1" applyFill="1" applyBorder="1" applyAlignment="1"/>
    <xf numFmtId="165" fontId="15" fillId="11" borderId="25" xfId="2" applyNumberFormat="1" applyFont="1" applyFill="1" applyBorder="1" applyAlignment="1" applyProtection="1">
      <alignment horizontal="center"/>
    </xf>
    <xf numFmtId="165" fontId="15" fillId="11" borderId="31" xfId="2" applyNumberFormat="1" applyFont="1" applyFill="1" applyBorder="1" applyProtection="1"/>
    <xf numFmtId="2" fontId="15" fillId="11" borderId="29" xfId="1" applyNumberFormat="1" applyFont="1" applyFill="1" applyBorder="1" applyAlignment="1">
      <alignment horizontal="center"/>
    </xf>
    <xf numFmtId="0" fontId="15" fillId="11" borderId="31" xfId="1" applyFont="1" applyFill="1" applyBorder="1" applyAlignment="1">
      <alignment horizontal="center"/>
    </xf>
    <xf numFmtId="0" fontId="15" fillId="11" borderId="24" xfId="1" applyFont="1" applyFill="1" applyBorder="1" applyAlignment="1">
      <alignment horizontal="left"/>
    </xf>
    <xf numFmtId="164" fontId="16" fillId="11" borderId="24" xfId="2" applyFont="1" applyFill="1" applyBorder="1" applyProtection="1"/>
    <xf numFmtId="0" fontId="17" fillId="0" borderId="0" xfId="1" applyFont="1" applyAlignment="1"/>
    <xf numFmtId="0" fontId="12" fillId="14" borderId="26" xfId="1" applyFont="1" applyFill="1" applyBorder="1" applyAlignment="1" applyProtection="1">
      <alignment horizontal="center"/>
      <protection locked="0"/>
    </xf>
    <xf numFmtId="0" fontId="12" fillId="14" borderId="30" xfId="1" applyFont="1" applyFill="1" applyBorder="1" applyAlignment="1" applyProtection="1">
      <alignment horizontal="center"/>
      <protection locked="0"/>
    </xf>
    <xf numFmtId="0" fontId="8" fillId="11" borderId="8" xfId="1" applyFont="1" applyFill="1" applyBorder="1" applyAlignment="1">
      <alignment horizontal="center" vertical="center"/>
    </xf>
    <xf numFmtId="0" fontId="8" fillId="11" borderId="10" xfId="1" applyFont="1" applyFill="1" applyBorder="1" applyAlignment="1">
      <alignment horizontal="center" vertical="center"/>
    </xf>
    <xf numFmtId="0" fontId="8" fillId="11" borderId="9" xfId="1" applyFont="1" applyFill="1" applyBorder="1" applyAlignment="1"/>
    <xf numFmtId="165" fontId="8" fillId="11" borderId="8" xfId="2" applyNumberFormat="1" applyFont="1" applyFill="1" applyBorder="1" applyAlignment="1" applyProtection="1">
      <alignment horizontal="center"/>
    </xf>
    <xf numFmtId="165" fontId="8" fillId="11" borderId="9" xfId="2" applyNumberFormat="1" applyFont="1" applyFill="1" applyBorder="1" applyProtection="1"/>
    <xf numFmtId="2" fontId="8" fillId="11" borderId="32" xfId="1" applyNumberFormat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165" fontId="8" fillId="13" borderId="25" xfId="2" applyNumberFormat="1" applyFont="1" applyFill="1" applyBorder="1" applyAlignment="1" applyProtection="1">
      <alignment horizontal="center"/>
    </xf>
    <xf numFmtId="0" fontId="12" fillId="14" borderId="25" xfId="1" applyFont="1" applyFill="1" applyBorder="1" applyAlignment="1" applyProtection="1">
      <alignment horizontal="center"/>
      <protection locked="0"/>
    </xf>
    <xf numFmtId="165" fontId="8" fillId="11" borderId="26" xfId="2" applyNumberFormat="1" applyFont="1" applyFill="1" applyBorder="1" applyAlignment="1" applyProtection="1">
      <alignment horizontal="center"/>
    </xf>
    <xf numFmtId="0" fontId="8" fillId="13" borderId="27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 vertical="center"/>
    </xf>
    <xf numFmtId="165" fontId="8" fillId="11" borderId="29" xfId="2" applyNumberFormat="1" applyFont="1" applyFill="1" applyBorder="1" applyAlignment="1" applyProtection="1">
      <alignment horizontal="center"/>
    </xf>
    <xf numFmtId="165" fontId="8" fillId="11" borderId="31" xfId="2" applyNumberFormat="1" applyFont="1" applyFill="1" applyBorder="1" applyAlignment="1" applyProtection="1">
      <alignment horizontal="center"/>
    </xf>
    <xf numFmtId="164" fontId="16" fillId="11" borderId="24" xfId="1" applyNumberFormat="1" applyFont="1" applyFill="1" applyBorder="1" applyAlignment="1"/>
    <xf numFmtId="165" fontId="8" fillId="11" borderId="33" xfId="2" applyNumberFormat="1" applyFont="1" applyFill="1" applyBorder="1" applyAlignment="1" applyProtection="1">
      <alignment horizontal="center"/>
    </xf>
    <xf numFmtId="0" fontId="18" fillId="12" borderId="26" xfId="1" applyFont="1" applyFill="1" applyBorder="1" applyAlignment="1" applyProtection="1">
      <alignment horizontal="center"/>
      <protection locked="0"/>
    </xf>
    <xf numFmtId="0" fontId="18" fillId="14" borderId="30" xfId="1" applyFont="1" applyFill="1" applyBorder="1" applyAlignment="1" applyProtection="1">
      <alignment horizontal="center"/>
      <protection locked="0"/>
    </xf>
    <xf numFmtId="166" fontId="19" fillId="12" borderId="30" xfId="1" applyNumberFormat="1" applyFont="1" applyFill="1" applyBorder="1" applyAlignment="1"/>
    <xf numFmtId="164" fontId="17" fillId="0" borderId="0" xfId="2" applyFont="1" applyProtection="1"/>
    <xf numFmtId="164" fontId="17" fillId="11" borderId="24" xfId="2" applyFont="1" applyFill="1" applyBorder="1" applyProtection="1"/>
    <xf numFmtId="0" fontId="20" fillId="14" borderId="26" xfId="1" applyFont="1" applyFill="1" applyBorder="1" applyAlignment="1" applyProtection="1">
      <alignment horizontal="center"/>
      <protection locked="0"/>
    </xf>
    <xf numFmtId="0" fontId="20" fillId="14" borderId="30" xfId="1" applyFont="1" applyFill="1" applyBorder="1" applyAlignment="1" applyProtection="1">
      <alignment horizontal="center"/>
      <protection locked="0"/>
    </xf>
    <xf numFmtId="2" fontId="8" fillId="12" borderId="29" xfId="1" applyNumberFormat="1" applyFont="1" applyFill="1" applyBorder="1" applyAlignment="1">
      <alignment horizontal="center"/>
    </xf>
    <xf numFmtId="0" fontId="10" fillId="12" borderId="24" xfId="1" applyFont="1" applyFill="1" applyBorder="1" applyAlignment="1">
      <alignment horizontal="left"/>
    </xf>
    <xf numFmtId="164" fontId="9" fillId="12" borderId="24" xfId="2" applyFont="1" applyFill="1" applyBorder="1" applyProtection="1"/>
    <xf numFmtId="0" fontId="8" fillId="12" borderId="31" xfId="1" applyFont="1" applyFill="1" applyBorder="1" applyAlignment="1"/>
    <xf numFmtId="164" fontId="9" fillId="11" borderId="34" xfId="2" applyFont="1" applyFill="1" applyBorder="1" applyProtection="1"/>
    <xf numFmtId="0" fontId="15" fillId="13" borderId="31" xfId="1" applyFont="1" applyFill="1" applyBorder="1" applyAlignment="1">
      <alignment horizontal="center"/>
    </xf>
    <xf numFmtId="0" fontId="17" fillId="15" borderId="0" xfId="1" applyFont="1" applyFill="1" applyAlignment="1"/>
    <xf numFmtId="0" fontId="8" fillId="12" borderId="25" xfId="1" applyFont="1" applyFill="1" applyBorder="1" applyAlignment="1">
      <alignment horizontal="center" vertical="center"/>
    </xf>
    <xf numFmtId="0" fontId="8" fillId="12" borderId="26" xfId="1" applyFont="1" applyFill="1" applyBorder="1" applyAlignment="1">
      <alignment horizontal="center" vertical="center"/>
    </xf>
    <xf numFmtId="0" fontId="20" fillId="12" borderId="26" xfId="1" applyFont="1" applyFill="1" applyBorder="1" applyAlignment="1" applyProtection="1">
      <alignment horizontal="center"/>
      <protection locked="0"/>
    </xf>
    <xf numFmtId="0" fontId="21" fillId="11" borderId="25" xfId="1" applyFont="1" applyFill="1" applyBorder="1" applyAlignment="1">
      <alignment horizontal="center" vertical="center"/>
    </xf>
    <xf numFmtId="0" fontId="21" fillId="11" borderId="26" xfId="1" applyFont="1" applyFill="1" applyBorder="1" applyAlignment="1">
      <alignment horizontal="center" vertical="center"/>
    </xf>
    <xf numFmtId="0" fontId="21" fillId="11" borderId="31" xfId="1" applyFont="1" applyFill="1" applyBorder="1" applyAlignment="1"/>
    <xf numFmtId="165" fontId="21" fillId="11" borderId="25" xfId="2" applyNumberFormat="1" applyFont="1" applyFill="1" applyBorder="1" applyAlignment="1" applyProtection="1">
      <alignment horizontal="center"/>
    </xf>
    <xf numFmtId="165" fontId="8" fillId="13" borderId="31" xfId="2" applyNumberFormat="1" applyFont="1" applyFill="1" applyBorder="1" applyProtection="1"/>
    <xf numFmtId="0" fontId="22" fillId="11" borderId="25" xfId="1" applyFont="1" applyFill="1" applyBorder="1" applyAlignment="1">
      <alignment horizontal="center" vertical="center"/>
    </xf>
    <xf numFmtId="0" fontId="22" fillId="11" borderId="26" xfId="1" applyFont="1" applyFill="1" applyBorder="1" applyAlignment="1">
      <alignment horizontal="center" vertical="center"/>
    </xf>
    <xf numFmtId="0" fontId="22" fillId="11" borderId="31" xfId="1" applyFont="1" applyFill="1" applyBorder="1" applyAlignment="1"/>
    <xf numFmtId="165" fontId="22" fillId="11" borderId="25" xfId="2" applyNumberFormat="1" applyFont="1" applyFill="1" applyBorder="1" applyAlignment="1" applyProtection="1">
      <alignment horizontal="center"/>
    </xf>
    <xf numFmtId="165" fontId="22" fillId="13" borderId="31" xfId="2" applyNumberFormat="1" applyFont="1" applyFill="1" applyBorder="1" applyProtection="1"/>
    <xf numFmtId="0" fontId="20" fillId="14" borderId="25" xfId="1" applyFont="1" applyFill="1" applyBorder="1" applyAlignment="1" applyProtection="1">
      <alignment horizontal="center"/>
      <protection locked="0"/>
    </xf>
    <xf numFmtId="2" fontId="22" fillId="11" borderId="29" xfId="1" applyNumberFormat="1" applyFont="1" applyFill="1" applyBorder="1" applyAlignment="1">
      <alignment horizontal="center"/>
    </xf>
    <xf numFmtId="0" fontId="22" fillId="11" borderId="31" xfId="1" applyFont="1" applyFill="1" applyBorder="1" applyAlignment="1">
      <alignment horizontal="center"/>
    </xf>
    <xf numFmtId="166" fontId="22" fillId="11" borderId="30" xfId="1" applyNumberFormat="1" applyFont="1" applyFill="1" applyBorder="1" applyAlignment="1"/>
    <xf numFmtId="166" fontId="22" fillId="12" borderId="30" xfId="1" applyNumberFormat="1" applyFont="1" applyFill="1" applyBorder="1" applyAlignment="1"/>
    <xf numFmtId="164" fontId="23" fillId="0" borderId="0" xfId="2" applyFont="1" applyProtection="1"/>
    <xf numFmtId="0" fontId="22" fillId="11" borderId="24" xfId="1" applyFont="1" applyFill="1" applyBorder="1" applyAlignment="1">
      <alignment horizontal="left"/>
    </xf>
    <xf numFmtId="164" fontId="23" fillId="11" borderId="24" xfId="2" applyFont="1" applyFill="1" applyBorder="1" applyProtection="1"/>
    <xf numFmtId="0" fontId="23" fillId="0" borderId="0" xfId="1" applyFont="1" applyAlignment="1"/>
    <xf numFmtId="0" fontId="20" fillId="12" borderId="25" xfId="1" applyFont="1" applyFill="1" applyBorder="1" applyAlignment="1" applyProtection="1">
      <alignment horizontal="center"/>
      <protection locked="0"/>
    </xf>
    <xf numFmtId="1" fontId="10" fillId="11" borderId="24" xfId="1" applyNumberFormat="1" applyFont="1" applyFill="1" applyBorder="1" applyAlignment="1">
      <alignment horizontal="left"/>
    </xf>
    <xf numFmtId="0" fontId="15" fillId="11" borderId="33" xfId="1" applyFont="1" applyFill="1" applyBorder="1" applyAlignment="1" applyProtection="1">
      <alignment horizontal="center"/>
      <protection locked="0"/>
    </xf>
    <xf numFmtId="1" fontId="15" fillId="11" borderId="24" xfId="1" applyNumberFormat="1" applyFont="1" applyFill="1" applyBorder="1" applyAlignment="1">
      <alignment horizontal="left"/>
    </xf>
    <xf numFmtId="165" fontId="20" fillId="14" borderId="26" xfId="2" applyNumberFormat="1" applyFont="1" applyFill="1" applyBorder="1" applyProtection="1"/>
    <xf numFmtId="0" fontId="8" fillId="13" borderId="25" xfId="1" applyFont="1" applyFill="1" applyBorder="1" applyAlignment="1" applyProtection="1">
      <alignment horizontal="center"/>
      <protection locked="0"/>
    </xf>
    <xf numFmtId="0" fontId="8" fillId="13" borderId="26" xfId="1" applyFont="1" applyFill="1" applyBorder="1" applyAlignment="1" applyProtection="1">
      <alignment horizontal="center"/>
      <protection locked="0"/>
    </xf>
    <xf numFmtId="165" fontId="15" fillId="13" borderId="25" xfId="2" applyNumberFormat="1" applyFont="1" applyFill="1" applyBorder="1" applyAlignment="1" applyProtection="1">
      <alignment horizontal="center"/>
    </xf>
    <xf numFmtId="165" fontId="15" fillId="13" borderId="31" xfId="2" applyNumberFormat="1" applyFont="1" applyFill="1" applyBorder="1" applyProtection="1"/>
    <xf numFmtId="0" fontId="15" fillId="13" borderId="25" xfId="1" applyFont="1" applyFill="1" applyBorder="1" applyAlignment="1" applyProtection="1">
      <alignment horizontal="center"/>
      <protection locked="0"/>
    </xf>
    <xf numFmtId="0" fontId="15" fillId="13" borderId="26" xfId="1" applyFont="1" applyFill="1" applyBorder="1" applyAlignment="1" applyProtection="1">
      <alignment horizontal="center"/>
      <protection locked="0"/>
    </xf>
    <xf numFmtId="165" fontId="15" fillId="13" borderId="26" xfId="2" applyNumberFormat="1" applyFont="1" applyFill="1" applyBorder="1" applyProtection="1"/>
    <xf numFmtId="0" fontId="15" fillId="11" borderId="26" xfId="1" applyFont="1" applyFill="1" applyBorder="1" applyAlignment="1" applyProtection="1">
      <alignment horizontal="center"/>
      <protection locked="0"/>
    </xf>
    <xf numFmtId="0" fontId="8" fillId="16" borderId="25" xfId="1" applyFont="1" applyFill="1" applyBorder="1" applyAlignment="1">
      <alignment horizontal="center" vertical="center"/>
    </xf>
    <xf numFmtId="0" fontId="8" fillId="16" borderId="26" xfId="1" applyFont="1" applyFill="1" applyBorder="1" applyAlignment="1">
      <alignment horizontal="center" vertical="center"/>
    </xf>
    <xf numFmtId="0" fontId="8" fillId="16" borderId="31" xfId="1" applyFont="1" applyFill="1" applyBorder="1" applyAlignment="1"/>
    <xf numFmtId="165" fontId="15" fillId="16" borderId="25" xfId="2" applyNumberFormat="1" applyFont="1" applyFill="1" applyBorder="1" applyAlignment="1" applyProtection="1">
      <alignment horizontal="center"/>
    </xf>
    <xf numFmtId="165" fontId="15" fillId="16" borderId="33" xfId="2" applyNumberFormat="1" applyFont="1" applyFill="1" applyBorder="1" applyAlignment="1" applyProtection="1">
      <alignment horizontal="center"/>
    </xf>
    <xf numFmtId="0" fontId="15" fillId="17" borderId="25" xfId="1" applyFont="1" applyFill="1" applyBorder="1" applyAlignment="1" applyProtection="1">
      <alignment horizontal="center"/>
      <protection locked="0"/>
    </xf>
    <xf numFmtId="0" fontId="15" fillId="17" borderId="26" xfId="1" applyFont="1" applyFill="1" applyBorder="1" applyAlignment="1" applyProtection="1">
      <alignment horizontal="center"/>
      <protection locked="0"/>
    </xf>
    <xf numFmtId="0" fontId="8" fillId="16" borderId="30" xfId="1" applyFont="1" applyFill="1" applyBorder="1" applyAlignment="1" applyProtection="1">
      <alignment horizontal="center"/>
      <protection locked="0"/>
    </xf>
    <xf numFmtId="2" fontId="15" fillId="16" borderId="29" xfId="1" applyNumberFormat="1" applyFont="1" applyFill="1" applyBorder="1" applyAlignment="1">
      <alignment horizontal="center"/>
    </xf>
    <xf numFmtId="0" fontId="15" fillId="16" borderId="31" xfId="1" applyFont="1" applyFill="1" applyBorder="1" applyAlignment="1">
      <alignment horizontal="center"/>
    </xf>
    <xf numFmtId="166" fontId="8" fillId="16" borderId="30" xfId="1" applyNumberFormat="1" applyFont="1" applyFill="1" applyBorder="1" applyAlignment="1"/>
    <xf numFmtId="166" fontId="8" fillId="18" borderId="30" xfId="1" applyNumberFormat="1" applyFont="1" applyFill="1" applyBorder="1" applyAlignment="1"/>
    <xf numFmtId="0" fontId="24" fillId="16" borderId="24" xfId="1" applyFont="1" applyFill="1" applyBorder="1" applyAlignment="1">
      <alignment horizontal="left"/>
    </xf>
    <xf numFmtId="164" fontId="17" fillId="16" borderId="24" xfId="2" applyFont="1" applyFill="1" applyBorder="1" applyProtection="1"/>
    <xf numFmtId="165" fontId="15" fillId="16" borderId="35" xfId="2" applyNumberFormat="1" applyFont="1" applyFill="1" applyBorder="1" applyAlignment="1" applyProtection="1">
      <alignment horizontal="center"/>
    </xf>
    <xf numFmtId="165" fontId="8" fillId="17" borderId="25" xfId="2" applyNumberFormat="1" applyFont="1" applyFill="1" applyBorder="1" applyAlignment="1" applyProtection="1">
      <alignment horizontal="center"/>
    </xf>
    <xf numFmtId="165" fontId="8" fillId="16" borderId="31" xfId="2" applyNumberFormat="1" applyFont="1" applyFill="1" applyBorder="1" applyProtection="1"/>
    <xf numFmtId="0" fontId="8" fillId="17" borderId="25" xfId="1" applyFont="1" applyFill="1" applyBorder="1" applyAlignment="1" applyProtection="1">
      <alignment horizontal="center"/>
      <protection locked="0"/>
    </xf>
    <xf numFmtId="0" fontId="8" fillId="16" borderId="26" xfId="1" applyFont="1" applyFill="1" applyBorder="1" applyAlignment="1" applyProtection="1">
      <alignment horizontal="center"/>
      <protection locked="0"/>
    </xf>
    <xf numFmtId="2" fontId="8" fillId="16" borderId="29" xfId="1" applyNumberFormat="1" applyFont="1" applyFill="1" applyBorder="1" applyAlignment="1">
      <alignment horizontal="center"/>
    </xf>
    <xf numFmtId="0" fontId="8" fillId="16" borderId="31" xfId="1" applyFont="1" applyFill="1" applyBorder="1" applyAlignment="1">
      <alignment horizontal="center"/>
    </xf>
    <xf numFmtId="0" fontId="10" fillId="16" borderId="24" xfId="1" applyFont="1" applyFill="1" applyBorder="1" applyAlignment="1">
      <alignment horizontal="left"/>
    </xf>
    <xf numFmtId="164" fontId="9" fillId="16" borderId="24" xfId="2" applyFont="1" applyFill="1" applyBorder="1" applyProtection="1"/>
    <xf numFmtId="165" fontId="8" fillId="16" borderId="25" xfId="2" applyNumberFormat="1" applyFont="1" applyFill="1" applyBorder="1" applyAlignment="1" applyProtection="1">
      <alignment horizontal="center"/>
    </xf>
    <xf numFmtId="0" fontId="8" fillId="16" borderId="25" xfId="1" applyFont="1" applyFill="1" applyBorder="1" applyAlignment="1" applyProtection="1">
      <alignment horizontal="center"/>
      <protection locked="0"/>
    </xf>
    <xf numFmtId="0" fontId="8" fillId="17" borderId="26" xfId="1" applyFont="1" applyFill="1" applyBorder="1" applyAlignment="1" applyProtection="1">
      <alignment horizontal="center"/>
      <protection locked="0"/>
    </xf>
    <xf numFmtId="165" fontId="8" fillId="17" borderId="31" xfId="2" applyNumberFormat="1" applyFont="1" applyFill="1" applyBorder="1" applyProtection="1"/>
    <xf numFmtId="165" fontId="8" fillId="16" borderId="35" xfId="2" applyNumberFormat="1" applyFont="1" applyFill="1" applyBorder="1" applyAlignment="1" applyProtection="1">
      <alignment horizontal="center"/>
    </xf>
    <xf numFmtId="165" fontId="8" fillId="18" borderId="31" xfId="2" applyNumberFormat="1" applyFont="1" applyFill="1" applyBorder="1" applyProtection="1"/>
    <xf numFmtId="165" fontId="8" fillId="17" borderId="26" xfId="2" applyNumberFormat="1" applyFont="1" applyFill="1" applyBorder="1" applyProtection="1"/>
    <xf numFmtId="2" fontId="8" fillId="18" borderId="29" xfId="1" applyNumberFormat="1" applyFont="1" applyFill="1" applyBorder="1" applyAlignment="1">
      <alignment horizontal="center"/>
    </xf>
    <xf numFmtId="0" fontId="8" fillId="18" borderId="31" xfId="1" applyFont="1" applyFill="1" applyBorder="1" applyAlignment="1">
      <alignment horizontal="center"/>
    </xf>
    <xf numFmtId="0" fontId="10" fillId="18" borderId="24" xfId="1" applyFont="1" applyFill="1" applyBorder="1" applyAlignment="1">
      <alignment horizontal="left"/>
    </xf>
    <xf numFmtId="164" fontId="9" fillId="18" borderId="24" xfId="2" applyFont="1" applyFill="1" applyBorder="1" applyProtection="1"/>
    <xf numFmtId="0" fontId="8" fillId="17" borderId="31" xfId="1" applyFont="1" applyFill="1" applyBorder="1" applyAlignment="1">
      <alignment horizontal="center"/>
    </xf>
    <xf numFmtId="0" fontId="8" fillId="17" borderId="25" xfId="1" applyFont="1" applyFill="1" applyBorder="1" applyAlignment="1">
      <alignment horizontal="center"/>
    </xf>
    <xf numFmtId="0" fontId="15" fillId="16" borderId="24" xfId="1" applyFont="1" applyFill="1" applyBorder="1" applyAlignment="1">
      <alignment horizontal="left"/>
    </xf>
    <xf numFmtId="0" fontId="16" fillId="0" borderId="0" xfId="1" applyFont="1" applyAlignment="1"/>
    <xf numFmtId="165" fontId="8" fillId="16" borderId="26" xfId="1" applyNumberFormat="1" applyFont="1" applyFill="1" applyBorder="1" applyAlignment="1" applyProtection="1">
      <alignment horizontal="center"/>
      <protection locked="0"/>
    </xf>
    <xf numFmtId="0" fontId="8" fillId="17" borderId="30" xfId="1" applyFont="1" applyFill="1" applyBorder="1" applyAlignment="1" applyProtection="1">
      <alignment horizontal="center"/>
      <protection locked="0"/>
    </xf>
    <xf numFmtId="0" fontId="26" fillId="0" borderId="0" xfId="1" applyFont="1">
      <alignment vertical="center"/>
    </xf>
    <xf numFmtId="0" fontId="22" fillId="18" borderId="25" xfId="1" applyFont="1" applyFill="1" applyBorder="1" applyAlignment="1">
      <alignment horizontal="center" vertical="center"/>
    </xf>
    <xf numFmtId="0" fontId="22" fillId="18" borderId="26" xfId="1" applyFont="1" applyFill="1" applyBorder="1" applyAlignment="1">
      <alignment horizontal="center" vertical="center"/>
    </xf>
    <xf numFmtId="0" fontId="22" fillId="18" borderId="31" xfId="1" applyFont="1" applyFill="1" applyBorder="1" applyAlignment="1"/>
    <xf numFmtId="165" fontId="22" fillId="18" borderId="25" xfId="2" applyNumberFormat="1" applyFont="1" applyFill="1" applyBorder="1" applyAlignment="1" applyProtection="1">
      <alignment horizontal="center"/>
    </xf>
    <xf numFmtId="165" fontId="22" fillId="18" borderId="31" xfId="2" applyNumberFormat="1" applyFont="1" applyFill="1" applyBorder="1" applyProtection="1"/>
    <xf numFmtId="2" fontId="22" fillId="18" borderId="29" xfId="1" applyNumberFormat="1" applyFont="1" applyFill="1" applyBorder="1" applyAlignment="1">
      <alignment horizontal="center"/>
    </xf>
    <xf numFmtId="0" fontId="22" fillId="18" borderId="31" xfId="1" applyFont="1" applyFill="1" applyBorder="1" applyAlignment="1">
      <alignment horizontal="center"/>
    </xf>
    <xf numFmtId="166" fontId="22" fillId="18" borderId="30" xfId="1" applyNumberFormat="1" applyFont="1" applyFill="1" applyBorder="1" applyAlignment="1"/>
    <xf numFmtId="0" fontId="22" fillId="18" borderId="24" xfId="1" applyFont="1" applyFill="1" applyBorder="1" applyAlignment="1">
      <alignment horizontal="left"/>
    </xf>
    <xf numFmtId="164" fontId="23" fillId="18" borderId="24" xfId="2" applyFont="1" applyFill="1" applyBorder="1" applyProtection="1"/>
    <xf numFmtId="0" fontId="22" fillId="16" borderId="25" xfId="1" applyFont="1" applyFill="1" applyBorder="1" applyAlignment="1">
      <alignment horizontal="center" vertical="center"/>
    </xf>
    <xf numFmtId="0" fontId="22" fillId="16" borderId="26" xfId="1" applyFont="1" applyFill="1" applyBorder="1" applyAlignment="1">
      <alignment horizontal="center" vertical="center"/>
    </xf>
    <xf numFmtId="0" fontId="22" fillId="16" borderId="31" xfId="1" applyFont="1" applyFill="1" applyBorder="1" applyAlignment="1"/>
    <xf numFmtId="165" fontId="22" fillId="16" borderId="25" xfId="2" applyNumberFormat="1" applyFont="1" applyFill="1" applyBorder="1" applyAlignment="1" applyProtection="1">
      <alignment horizontal="center"/>
    </xf>
    <xf numFmtId="0" fontId="22" fillId="17" borderId="31" xfId="1" applyFont="1" applyFill="1" applyBorder="1" applyAlignment="1">
      <alignment horizontal="center"/>
    </xf>
    <xf numFmtId="0" fontId="22" fillId="17" borderId="26" xfId="1" applyFont="1" applyFill="1" applyBorder="1" applyAlignment="1" applyProtection="1">
      <alignment horizontal="center"/>
      <protection locked="0"/>
    </xf>
    <xf numFmtId="2" fontId="22" fillId="16" borderId="29" xfId="1" applyNumberFormat="1" applyFont="1" applyFill="1" applyBorder="1" applyAlignment="1">
      <alignment horizontal="center"/>
    </xf>
    <xf numFmtId="0" fontId="22" fillId="16" borderId="31" xfId="1" applyFont="1" applyFill="1" applyBorder="1" applyAlignment="1">
      <alignment horizontal="center"/>
    </xf>
    <xf numFmtId="166" fontId="22" fillId="16" borderId="30" xfId="1" applyNumberFormat="1" applyFont="1" applyFill="1" applyBorder="1" applyAlignment="1"/>
    <xf numFmtId="0" fontId="22" fillId="16" borderId="24" xfId="1" applyFont="1" applyFill="1" applyBorder="1" applyAlignment="1">
      <alignment horizontal="left"/>
    </xf>
    <xf numFmtId="164" fontId="23" fillId="16" borderId="24" xfId="2" applyFont="1" applyFill="1" applyBorder="1" applyProtection="1"/>
    <xf numFmtId="165" fontId="8" fillId="16" borderId="33" xfId="2" applyNumberFormat="1" applyFont="1" applyFill="1" applyBorder="1" applyAlignment="1" applyProtection="1">
      <alignment horizontal="center"/>
    </xf>
    <xf numFmtId="0" fontId="8" fillId="19" borderId="25" xfId="1" applyFont="1" applyFill="1" applyBorder="1" applyAlignment="1">
      <alignment horizontal="center" vertical="center" wrapText="1"/>
    </xf>
    <xf numFmtId="0" fontId="8" fillId="19" borderId="26" xfId="1" applyFont="1" applyFill="1" applyBorder="1" applyAlignment="1">
      <alignment horizontal="center" vertical="center" wrapText="1"/>
    </xf>
    <xf numFmtId="0" fontId="8" fillId="19" borderId="31" xfId="1" applyFont="1" applyFill="1" applyBorder="1">
      <alignment vertical="center"/>
    </xf>
    <xf numFmtId="165" fontId="8" fillId="19" borderId="25" xfId="2" applyNumberFormat="1" applyFont="1" applyFill="1" applyBorder="1" applyAlignment="1" applyProtection="1">
      <alignment horizontal="center" vertical="center"/>
    </xf>
    <xf numFmtId="165" fontId="8" fillId="20" borderId="31" xfId="2" applyNumberFormat="1" applyFont="1" applyFill="1" applyBorder="1" applyAlignment="1" applyProtection="1">
      <alignment vertical="center"/>
    </xf>
    <xf numFmtId="0" fontId="8" fillId="19" borderId="25" xfId="1" applyFont="1" applyFill="1" applyBorder="1" applyAlignment="1" applyProtection="1">
      <alignment horizontal="center" vertical="center"/>
      <protection locked="0"/>
    </xf>
    <xf numFmtId="0" fontId="8" fillId="20" borderId="26" xfId="1" applyFont="1" applyFill="1" applyBorder="1" applyAlignment="1" applyProtection="1">
      <alignment horizontal="center" vertical="center"/>
      <protection locked="0"/>
    </xf>
    <xf numFmtId="0" fontId="8" fillId="19" borderId="30" xfId="1" applyFont="1" applyFill="1" applyBorder="1" applyAlignment="1" applyProtection="1">
      <alignment horizontal="center" vertical="center"/>
      <protection locked="0"/>
    </xf>
    <xf numFmtId="2" fontId="8" fillId="19" borderId="29" xfId="1" applyNumberFormat="1" applyFont="1" applyFill="1" applyBorder="1" applyAlignment="1">
      <alignment horizontal="center" vertical="center"/>
    </xf>
    <xf numFmtId="0" fontId="8" fillId="19" borderId="31" xfId="1" applyFont="1" applyFill="1" applyBorder="1" applyAlignment="1">
      <alignment horizontal="center" vertical="center"/>
    </xf>
    <xf numFmtId="166" fontId="8" fillId="19" borderId="30" xfId="1" applyNumberFormat="1" applyFont="1" applyFill="1" applyBorder="1">
      <alignment vertical="center"/>
    </xf>
    <xf numFmtId="166" fontId="8" fillId="21" borderId="30" xfId="1" applyNumberFormat="1" applyFont="1" applyFill="1" applyBorder="1" applyAlignment="1"/>
    <xf numFmtId="0" fontId="10" fillId="19" borderId="24" xfId="1" applyFont="1" applyFill="1" applyBorder="1" applyAlignment="1">
      <alignment horizontal="left" vertical="center"/>
    </xf>
    <xf numFmtId="164" fontId="9" fillId="22" borderId="24" xfId="2" applyFont="1" applyFill="1" applyBorder="1" applyProtection="1"/>
    <xf numFmtId="0" fontId="9" fillId="0" borderId="0" xfId="1" applyFont="1">
      <alignment vertical="center"/>
    </xf>
    <xf numFmtId="0" fontId="8" fillId="20" borderId="30" xfId="1" applyFont="1" applyFill="1" applyBorder="1" applyAlignment="1" applyProtection="1">
      <alignment horizontal="center" vertical="center"/>
      <protection locked="0"/>
    </xf>
    <xf numFmtId="0" fontId="15" fillId="19" borderId="25" xfId="1" applyFont="1" applyFill="1" applyBorder="1" applyAlignment="1">
      <alignment horizontal="center" vertical="center" wrapText="1"/>
    </xf>
    <xf numFmtId="0" fontId="15" fillId="19" borderId="26" xfId="1" applyFont="1" applyFill="1" applyBorder="1" applyAlignment="1">
      <alignment horizontal="center" vertical="center" wrapText="1"/>
    </xf>
    <xf numFmtId="165" fontId="15" fillId="19" borderId="25" xfId="2" applyNumberFormat="1" applyFont="1" applyFill="1" applyBorder="1" applyAlignment="1" applyProtection="1">
      <alignment horizontal="center" vertical="center"/>
    </xf>
    <xf numFmtId="165" fontId="15" fillId="19" borderId="31" xfId="2" applyNumberFormat="1" applyFont="1" applyFill="1" applyBorder="1" applyAlignment="1" applyProtection="1">
      <alignment vertical="center"/>
    </xf>
    <xf numFmtId="2" fontId="15" fillId="19" borderId="29" xfId="1" applyNumberFormat="1" applyFont="1" applyFill="1" applyBorder="1" applyAlignment="1">
      <alignment horizontal="center" vertical="center"/>
    </xf>
    <xf numFmtId="0" fontId="15" fillId="19" borderId="31" xfId="1" applyFont="1" applyFill="1" applyBorder="1" applyAlignment="1">
      <alignment horizontal="center" vertical="center"/>
    </xf>
    <xf numFmtId="0" fontId="16" fillId="0" borderId="0" xfId="1" applyFont="1">
      <alignment vertical="center"/>
    </xf>
    <xf numFmtId="165" fontId="8" fillId="20" borderId="25" xfId="2" applyNumberFormat="1" applyFont="1" applyFill="1" applyBorder="1" applyAlignment="1" applyProtection="1">
      <alignment horizontal="center" vertical="center"/>
    </xf>
    <xf numFmtId="165" fontId="8" fillId="19" borderId="31" xfId="2" applyNumberFormat="1" applyFont="1" applyFill="1" applyBorder="1" applyAlignment="1" applyProtection="1">
      <alignment vertical="center"/>
    </xf>
    <xf numFmtId="0" fontId="8" fillId="20" borderId="25" xfId="1" applyFont="1" applyFill="1" applyBorder="1" applyAlignment="1" applyProtection="1">
      <alignment horizontal="center" vertical="center"/>
      <protection locked="0"/>
    </xf>
    <xf numFmtId="0" fontId="8" fillId="19" borderId="26" xfId="1" applyFont="1" applyFill="1" applyBorder="1" applyAlignment="1" applyProtection="1">
      <alignment horizontal="center" vertical="center"/>
      <protection locked="0"/>
    </xf>
    <xf numFmtId="0" fontId="8" fillId="19" borderId="36" xfId="1" applyFont="1" applyFill="1" applyBorder="1">
      <alignment vertical="center"/>
    </xf>
    <xf numFmtId="165" fontId="8" fillId="19" borderId="19" xfId="2" applyNumberFormat="1" applyFont="1" applyFill="1" applyBorder="1" applyAlignment="1" applyProtection="1">
      <alignment horizontal="center" vertical="center"/>
    </xf>
    <xf numFmtId="165" fontId="8" fillId="19" borderId="36" xfId="2" applyNumberFormat="1" applyFont="1" applyFill="1" applyBorder="1" applyAlignment="1" applyProtection="1">
      <alignment vertical="center"/>
    </xf>
    <xf numFmtId="2" fontId="8" fillId="19" borderId="37" xfId="1" applyNumberFormat="1" applyFont="1" applyFill="1" applyBorder="1" applyAlignment="1">
      <alignment horizontal="center" vertical="center"/>
    </xf>
    <xf numFmtId="0" fontId="8" fillId="19" borderId="36" xfId="1" applyFont="1" applyFill="1" applyBorder="1" applyAlignment="1">
      <alignment horizontal="center" vertical="center"/>
    </xf>
    <xf numFmtId="0" fontId="10" fillId="22" borderId="24" xfId="1" applyFont="1" applyFill="1" applyBorder="1" applyAlignment="1">
      <alignment horizontal="left" vertical="center"/>
    </xf>
    <xf numFmtId="0" fontId="15" fillId="22" borderId="31" xfId="1" applyFont="1" applyFill="1" applyBorder="1">
      <alignment vertical="center"/>
    </xf>
    <xf numFmtId="165" fontId="15" fillId="22" borderId="25" xfId="2" applyNumberFormat="1" applyFont="1" applyFill="1" applyBorder="1" applyAlignment="1" applyProtection="1">
      <alignment horizontal="center" vertical="center"/>
    </xf>
    <xf numFmtId="165" fontId="15" fillId="23" borderId="31" xfId="2" applyNumberFormat="1" applyFont="1" applyFill="1" applyBorder="1" applyProtection="1"/>
    <xf numFmtId="0" fontId="15" fillId="22" borderId="25" xfId="1" applyFont="1" applyFill="1" applyBorder="1" applyAlignment="1" applyProtection="1">
      <alignment horizontal="center" vertical="center"/>
      <protection locked="0"/>
    </xf>
    <xf numFmtId="165" fontId="15" fillId="23" borderId="26" xfId="2" applyNumberFormat="1" applyFont="1" applyFill="1" applyBorder="1" applyProtection="1"/>
    <xf numFmtId="2" fontId="15" fillId="22" borderId="29" xfId="1" applyNumberFormat="1" applyFont="1" applyFill="1" applyBorder="1" applyAlignment="1">
      <alignment horizontal="center" vertical="center"/>
    </xf>
    <xf numFmtId="0" fontId="15" fillId="22" borderId="31" xfId="1" applyFont="1" applyFill="1" applyBorder="1" applyAlignment="1">
      <alignment horizontal="center" vertical="center"/>
    </xf>
    <xf numFmtId="166" fontId="8" fillId="22" borderId="30" xfId="1" applyNumberFormat="1" applyFont="1" applyFill="1" applyBorder="1">
      <alignment vertical="center"/>
    </xf>
    <xf numFmtId="165" fontId="8" fillId="20" borderId="25" xfId="2" applyNumberFormat="1" applyFont="1" applyFill="1" applyBorder="1" applyAlignment="1" applyProtection="1">
      <alignment vertical="center"/>
    </xf>
    <xf numFmtId="165" fontId="8" fillId="19" borderId="26" xfId="1" applyNumberFormat="1" applyFont="1" applyFill="1" applyBorder="1" applyAlignment="1" applyProtection="1">
      <alignment horizontal="center" vertical="center"/>
      <protection locked="0"/>
    </xf>
    <xf numFmtId="0" fontId="6" fillId="19" borderId="24" xfId="1" applyFont="1" applyFill="1" applyBorder="1" applyAlignment="1">
      <alignment horizontal="left" vertical="center"/>
    </xf>
    <xf numFmtId="0" fontId="5" fillId="0" borderId="0" xfId="1" applyFont="1">
      <alignment vertical="center"/>
    </xf>
    <xf numFmtId="0" fontId="8" fillId="19" borderId="17" xfId="1" applyFont="1" applyFill="1" applyBorder="1" applyAlignment="1">
      <alignment horizontal="center" vertical="center" wrapText="1"/>
    </xf>
    <xf numFmtId="0" fontId="8" fillId="19" borderId="22" xfId="1" applyFont="1" applyFill="1" applyBorder="1" applyAlignment="1">
      <alignment horizontal="center" vertical="center" wrapText="1"/>
    </xf>
    <xf numFmtId="0" fontId="8" fillId="19" borderId="18" xfId="1" applyFont="1" applyFill="1" applyBorder="1">
      <alignment vertical="center"/>
    </xf>
    <xf numFmtId="165" fontId="8" fillId="20" borderId="17" xfId="2" applyNumberFormat="1" applyFont="1" applyFill="1" applyBorder="1" applyAlignment="1" applyProtection="1">
      <alignment vertical="center"/>
    </xf>
    <xf numFmtId="165" fontId="8" fillId="19" borderId="18" xfId="2" applyNumberFormat="1" applyFont="1" applyFill="1" applyBorder="1" applyAlignment="1" applyProtection="1">
      <alignment vertical="center"/>
    </xf>
    <xf numFmtId="0" fontId="8" fillId="20" borderId="17" xfId="1" applyFont="1" applyFill="1" applyBorder="1" applyAlignment="1" applyProtection="1">
      <alignment horizontal="center" vertical="center"/>
      <protection locked="0"/>
    </xf>
    <xf numFmtId="0" fontId="8" fillId="19" borderId="22" xfId="1" applyFont="1" applyFill="1" applyBorder="1" applyAlignment="1" applyProtection="1">
      <alignment horizontal="center" vertical="center"/>
      <protection locked="0"/>
    </xf>
    <xf numFmtId="0" fontId="8" fillId="19" borderId="23" xfId="1" applyFont="1" applyFill="1" applyBorder="1" applyAlignment="1" applyProtection="1">
      <alignment horizontal="center" vertical="center"/>
      <protection locked="0"/>
    </xf>
    <xf numFmtId="2" fontId="8" fillId="19" borderId="38" xfId="1" applyNumberFormat="1" applyFont="1" applyFill="1" applyBorder="1" applyAlignment="1">
      <alignment horizontal="center" vertical="center"/>
    </xf>
    <xf numFmtId="0" fontId="8" fillId="19" borderId="18" xfId="1" applyFont="1" applyFill="1" applyBorder="1" applyAlignment="1">
      <alignment horizontal="center" vertical="center"/>
    </xf>
    <xf numFmtId="0" fontId="6" fillId="19" borderId="39" xfId="1" applyFont="1" applyFill="1" applyBorder="1" applyAlignment="1">
      <alignment horizontal="left" vertical="center"/>
    </xf>
    <xf numFmtId="0" fontId="9" fillId="0" borderId="0" xfId="1" applyFont="1" applyAlignment="1">
      <alignment horizontal="center"/>
    </xf>
    <xf numFmtId="2" fontId="9" fillId="0" borderId="0" xfId="1" applyNumberFormat="1" applyFont="1" applyAlignment="1">
      <alignment horizontal="center"/>
    </xf>
    <xf numFmtId="166" fontId="9" fillId="0" borderId="0" xfId="1" applyNumberFormat="1" applyFont="1" applyAlignment="1"/>
    <xf numFmtId="167" fontId="9" fillId="0" borderId="0" xfId="1" applyNumberFormat="1" applyFont="1" applyAlignment="1"/>
    <xf numFmtId="0" fontId="8" fillId="9" borderId="8" xfId="1" applyFont="1" applyFill="1" applyBorder="1" applyAlignment="1">
      <alignment horizontal="center" vertical="center"/>
    </xf>
    <xf numFmtId="165" fontId="8" fillId="9" borderId="11" xfId="2" applyNumberFormat="1" applyFont="1" applyFill="1" applyBorder="1" applyProtection="1"/>
    <xf numFmtId="165" fontId="8" fillId="0" borderId="0" xfId="2" applyNumberFormat="1" applyFont="1" applyProtection="1"/>
    <xf numFmtId="165" fontId="8" fillId="11" borderId="40" xfId="2" applyNumberFormat="1" applyFont="1" applyFill="1" applyBorder="1" applyAlignment="1" applyProtection="1">
      <alignment vertical="center"/>
    </xf>
    <xf numFmtId="165" fontId="8" fillId="11" borderId="41" xfId="2" applyNumberFormat="1" applyFont="1" applyFill="1" applyBorder="1" applyAlignment="1" applyProtection="1">
      <alignment vertical="center"/>
    </xf>
    <xf numFmtId="165" fontId="8" fillId="11" borderId="42" xfId="2" applyNumberFormat="1" applyFont="1" applyFill="1" applyBorder="1" applyAlignment="1" applyProtection="1">
      <alignment vertical="center"/>
    </xf>
    <xf numFmtId="0" fontId="8" fillId="24" borderId="25" xfId="1" applyFont="1" applyFill="1" applyBorder="1" applyAlignment="1">
      <alignment horizontal="center" vertical="center"/>
    </xf>
    <xf numFmtId="165" fontId="8" fillId="24" borderId="30" xfId="2" applyNumberFormat="1" applyFont="1" applyFill="1" applyBorder="1" applyProtection="1"/>
    <xf numFmtId="0" fontId="8" fillId="19" borderId="25" xfId="1" applyFont="1" applyFill="1" applyBorder="1" applyAlignment="1">
      <alignment horizontal="center" vertical="center"/>
    </xf>
    <xf numFmtId="165" fontId="8" fillId="19" borderId="21" xfId="2" applyNumberFormat="1" applyFont="1" applyFill="1" applyBorder="1" applyProtection="1"/>
    <xf numFmtId="0" fontId="19" fillId="25" borderId="43" xfId="1" applyFont="1" applyFill="1" applyBorder="1" applyAlignment="1">
      <alignment horizontal="center"/>
    </xf>
    <xf numFmtId="165" fontId="19" fillId="25" borderId="44" xfId="2" applyNumberFormat="1" applyFont="1" applyFill="1" applyBorder="1" applyAlignment="1" applyProtection="1">
      <alignment horizontal="center"/>
    </xf>
    <xf numFmtId="165" fontId="27" fillId="0" borderId="0" xfId="2" applyNumberFormat="1" applyFont="1" applyProtection="1"/>
    <xf numFmtId="166" fontId="5" fillId="0" borderId="0" xfId="1" applyNumberFormat="1" applyFont="1" applyAlignment="1"/>
    <xf numFmtId="165" fontId="5" fillId="0" borderId="0" xfId="1" applyNumberFormat="1" applyFont="1" applyAlignment="1"/>
  </cellXfs>
  <cellStyles count="3">
    <cellStyle name="Milliers 3" xfId="2" xr:uid="{C5B382DD-B598-434D-AAAF-4E1C87125ADE}"/>
    <cellStyle name="Normal" xfId="0" builtinId="0"/>
    <cellStyle name="Normal 2" xfId="1" xr:uid="{AD7E9C2C-F0C1-4D43-83C1-AC55B5FF3FA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36049</xdr:colOff>
      <xdr:row>3</xdr:row>
      <xdr:rowOff>62864</xdr:rowOff>
    </xdr:to>
    <xdr:pic>
      <xdr:nvPicPr>
        <xdr:cNvPr id="2" name="Image 3" descr=" ">
          <a:extLst>
            <a:ext uri="{FF2B5EF4-FFF2-40B4-BE49-F238E27FC236}">
              <a16:creationId xmlns:a16="http://schemas.microsoft.com/office/drawing/2014/main" id="{1115D024-EDE1-41DF-ABB5-CD3B58D470B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836149" cy="63436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8AB6-D6F9-48BE-A4A8-870A361B004D}">
  <dimension ref="A1:BH526"/>
  <sheetViews>
    <sheetView tabSelected="1" topLeftCell="A6" workbookViewId="0">
      <selection activeCell="D3" sqref="D3"/>
    </sheetView>
  </sheetViews>
  <sheetFormatPr baseColWidth="10" defaultColWidth="36.28515625" defaultRowHeight="15" x14ac:dyDescent="0.2"/>
  <cols>
    <col min="1" max="1" width="12" style="6" customWidth="1"/>
    <col min="2" max="2" width="23.42578125" style="8" bestFit="1" customWidth="1"/>
    <col min="3" max="3" width="7.7109375" style="8" bestFit="1" customWidth="1"/>
    <col min="4" max="4" width="47.140625" style="6" bestFit="1" customWidth="1"/>
    <col min="5" max="5" width="15.42578125" style="8" customWidth="1"/>
    <col min="6" max="6" width="16.28515625" style="6" customWidth="1"/>
    <col min="7" max="7" width="12.140625" style="8" bestFit="1" customWidth="1"/>
    <col min="8" max="8" width="10.7109375" style="8" bestFit="1" customWidth="1"/>
    <col min="9" max="9" width="12.42578125" style="8" bestFit="1" customWidth="1"/>
    <col min="10" max="10" width="11.5703125" style="12" customWidth="1"/>
    <col min="11" max="11" width="21.42578125" style="8" customWidth="1"/>
    <col min="12" max="12" width="15" style="6" customWidth="1"/>
    <col min="13" max="13" width="19" style="6" customWidth="1"/>
    <col min="14" max="14" width="11.7109375" style="6" customWidth="1"/>
    <col min="15" max="15" width="21.5703125" style="6" bestFit="1" customWidth="1"/>
    <col min="16" max="16" width="16.5703125" style="6" bestFit="1" customWidth="1"/>
    <col min="17" max="17" width="14.28515625" style="6" bestFit="1" customWidth="1"/>
    <col min="18" max="18" width="14.85546875" style="6" customWidth="1"/>
    <col min="19" max="19" width="10.7109375" style="6" bestFit="1" customWidth="1"/>
    <col min="20" max="20" width="36.28515625" style="6"/>
    <col min="21" max="21" width="36.28515625" style="7"/>
    <col min="22" max="16384" width="36.28515625" style="6"/>
  </cols>
  <sheetData>
    <row r="1" spans="2:18" x14ac:dyDescent="0.2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 t="s">
        <v>1</v>
      </c>
      <c r="O1" s="5"/>
    </row>
    <row r="3" spans="2:18" x14ac:dyDescent="0.2">
      <c r="C3" s="9" t="s">
        <v>2</v>
      </c>
      <c r="D3" s="10" t="s">
        <v>3</v>
      </c>
      <c r="F3" s="9" t="s">
        <v>4</v>
      </c>
      <c r="G3" s="11">
        <v>46234</v>
      </c>
      <c r="H3" s="11"/>
    </row>
    <row r="4" spans="2:18" ht="15.75" thickBot="1" x14ac:dyDescent="0.25"/>
    <row r="5" spans="2:18" s="24" customFormat="1" ht="15.75" x14ac:dyDescent="0.25">
      <c r="B5" s="13" t="s">
        <v>5</v>
      </c>
      <c r="C5" s="14" t="s">
        <v>6</v>
      </c>
      <c r="D5" s="15" t="s">
        <v>7</v>
      </c>
      <c r="E5" s="16" t="s">
        <v>8</v>
      </c>
      <c r="F5" s="17"/>
      <c r="G5" s="18" t="s">
        <v>9</v>
      </c>
      <c r="H5" s="19"/>
      <c r="I5" s="20"/>
      <c r="J5" s="21" t="s">
        <v>10</v>
      </c>
      <c r="K5" s="22"/>
      <c r="L5" s="22"/>
      <c r="M5" s="23"/>
      <c r="O5" s="25" t="s">
        <v>11</v>
      </c>
      <c r="P5" s="26"/>
    </row>
    <row r="6" spans="2:18" s="39" customFormat="1" ht="32.25" thickBot="1" x14ac:dyDescent="0.3">
      <c r="B6" s="27"/>
      <c r="C6" s="28"/>
      <c r="D6" s="29"/>
      <c r="E6" s="30" t="s">
        <v>12</v>
      </c>
      <c r="F6" s="31" t="s">
        <v>13</v>
      </c>
      <c r="G6" s="32" t="s">
        <v>14</v>
      </c>
      <c r="H6" s="33" t="s">
        <v>15</v>
      </c>
      <c r="I6" s="34" t="s">
        <v>16</v>
      </c>
      <c r="J6" s="35" t="s">
        <v>17</v>
      </c>
      <c r="K6" s="36" t="s">
        <v>18</v>
      </c>
      <c r="L6" s="37" t="s">
        <v>19</v>
      </c>
      <c r="M6" s="38" t="s">
        <v>20</v>
      </c>
      <c r="O6" s="40" t="s">
        <v>21</v>
      </c>
      <c r="P6" s="40" t="s">
        <v>22</v>
      </c>
    </row>
    <row r="7" spans="2:18" s="24" customFormat="1" ht="15.75" x14ac:dyDescent="0.25">
      <c r="B7" s="41" t="s">
        <v>23</v>
      </c>
      <c r="C7" s="42" t="s">
        <v>24</v>
      </c>
      <c r="D7" s="43" t="s">
        <v>25</v>
      </c>
      <c r="E7" s="44">
        <v>1</v>
      </c>
      <c r="F7" s="45"/>
      <c r="G7" s="46"/>
      <c r="H7" s="47">
        <v>0</v>
      </c>
      <c r="I7" s="48"/>
      <c r="J7" s="49">
        <f>+H7</f>
        <v>0</v>
      </c>
      <c r="K7" s="50" t="s">
        <v>26</v>
      </c>
      <c r="L7" s="51"/>
      <c r="M7" s="52">
        <f>J7*L7</f>
        <v>0</v>
      </c>
      <c r="N7" s="53"/>
      <c r="O7" s="54" t="s">
        <v>27</v>
      </c>
      <c r="P7" s="55">
        <f>(H7+G7*E7)*0.25</f>
        <v>0</v>
      </c>
      <c r="R7" s="56"/>
    </row>
    <row r="8" spans="2:18" s="24" customFormat="1" ht="15.75" x14ac:dyDescent="0.25">
      <c r="B8" s="57" t="s">
        <v>23</v>
      </c>
      <c r="C8" s="58" t="s">
        <v>24</v>
      </c>
      <c r="D8" s="59" t="s">
        <v>28</v>
      </c>
      <c r="E8" s="60">
        <v>24</v>
      </c>
      <c r="F8" s="61"/>
      <c r="G8" s="62">
        <v>1</v>
      </c>
      <c r="H8" s="63"/>
      <c r="I8" s="64">
        <v>25</v>
      </c>
      <c r="J8" s="65">
        <f t="shared" ref="J8:J36" si="0">G8+I8/E8</f>
        <v>2.041666666666667</v>
      </c>
      <c r="K8" s="66" t="s">
        <v>29</v>
      </c>
      <c r="L8" s="51"/>
      <c r="M8" s="52">
        <f t="shared" ref="M8:M73" si="1">J8*L8</f>
        <v>0</v>
      </c>
      <c r="N8" s="53"/>
      <c r="O8" s="54" t="s">
        <v>30</v>
      </c>
      <c r="P8" s="55">
        <f t="shared" ref="P8:P12" si="2">I8+G8*E8</f>
        <v>49</v>
      </c>
      <c r="R8" s="56"/>
    </row>
    <row r="9" spans="2:18" s="24" customFormat="1" ht="15.75" x14ac:dyDescent="0.25">
      <c r="B9" s="57" t="s">
        <v>23</v>
      </c>
      <c r="C9" s="58" t="s">
        <v>24</v>
      </c>
      <c r="D9" s="59" t="s">
        <v>31</v>
      </c>
      <c r="E9" s="60">
        <v>24</v>
      </c>
      <c r="F9" s="61"/>
      <c r="G9" s="62">
        <v>2</v>
      </c>
      <c r="H9" s="63"/>
      <c r="I9" s="64">
        <v>27</v>
      </c>
      <c r="J9" s="65">
        <f t="shared" si="0"/>
        <v>3.125</v>
      </c>
      <c r="K9" s="66" t="s">
        <v>29</v>
      </c>
      <c r="L9" s="51"/>
      <c r="M9" s="52">
        <f t="shared" si="1"/>
        <v>0</v>
      </c>
      <c r="N9" s="53"/>
      <c r="O9" s="54" t="s">
        <v>32</v>
      </c>
      <c r="P9" s="55">
        <f t="shared" si="2"/>
        <v>75</v>
      </c>
      <c r="R9" s="56"/>
    </row>
    <row r="10" spans="2:18" s="24" customFormat="1" ht="15.75" x14ac:dyDescent="0.25">
      <c r="B10" s="57" t="s">
        <v>23</v>
      </c>
      <c r="C10" s="58" t="s">
        <v>24</v>
      </c>
      <c r="D10" s="59" t="s">
        <v>33</v>
      </c>
      <c r="E10" s="60">
        <v>24</v>
      </c>
      <c r="F10" s="61"/>
      <c r="G10" s="62">
        <v>4</v>
      </c>
      <c r="H10" s="63"/>
      <c r="I10" s="64">
        <v>7</v>
      </c>
      <c r="J10" s="65">
        <f t="shared" si="0"/>
        <v>4.291666666666667</v>
      </c>
      <c r="K10" s="66" t="s">
        <v>29</v>
      </c>
      <c r="L10" s="51"/>
      <c r="M10" s="52">
        <f t="shared" si="1"/>
        <v>0</v>
      </c>
      <c r="N10" s="53"/>
      <c r="O10" s="54" t="s">
        <v>34</v>
      </c>
      <c r="P10" s="55">
        <f>I10+G10*E10</f>
        <v>103</v>
      </c>
      <c r="R10" s="56"/>
    </row>
    <row r="11" spans="2:18" s="24" customFormat="1" ht="15.75" x14ac:dyDescent="0.25">
      <c r="B11" s="57" t="s">
        <v>23</v>
      </c>
      <c r="C11" s="58" t="s">
        <v>24</v>
      </c>
      <c r="D11" s="59" t="s">
        <v>35</v>
      </c>
      <c r="E11" s="60">
        <v>24</v>
      </c>
      <c r="F11" s="61"/>
      <c r="G11" s="62">
        <v>1</v>
      </c>
      <c r="H11" s="63"/>
      <c r="I11" s="64">
        <v>31</v>
      </c>
      <c r="J11" s="65">
        <f t="shared" si="0"/>
        <v>2.291666666666667</v>
      </c>
      <c r="K11" s="66" t="s">
        <v>29</v>
      </c>
      <c r="L11" s="51"/>
      <c r="M11" s="52">
        <f t="shared" si="1"/>
        <v>0</v>
      </c>
      <c r="N11" s="53"/>
      <c r="O11" s="54" t="s">
        <v>36</v>
      </c>
      <c r="P11" s="55">
        <f t="shared" si="2"/>
        <v>55</v>
      </c>
      <c r="R11" s="56"/>
    </row>
    <row r="12" spans="2:18" s="24" customFormat="1" ht="15.75" x14ac:dyDescent="0.25">
      <c r="B12" s="57" t="s">
        <v>23</v>
      </c>
      <c r="C12" s="58" t="s">
        <v>24</v>
      </c>
      <c r="D12" s="59" t="s">
        <v>37</v>
      </c>
      <c r="E12" s="60">
        <v>24</v>
      </c>
      <c r="F12" s="61"/>
      <c r="G12" s="62">
        <v>0</v>
      </c>
      <c r="H12" s="63"/>
      <c r="I12" s="64">
        <v>0</v>
      </c>
      <c r="J12" s="65">
        <f t="shared" si="0"/>
        <v>0</v>
      </c>
      <c r="K12" s="66" t="s">
        <v>29</v>
      </c>
      <c r="L12" s="51"/>
      <c r="M12" s="52">
        <f t="shared" si="1"/>
        <v>0</v>
      </c>
      <c r="N12" s="53"/>
      <c r="O12" s="54" t="s">
        <v>38</v>
      </c>
      <c r="P12" s="55">
        <f t="shared" si="2"/>
        <v>0</v>
      </c>
      <c r="R12" s="56"/>
    </row>
    <row r="13" spans="2:18" s="24" customFormat="1" ht="15.75" x14ac:dyDescent="0.25">
      <c r="B13" s="57" t="s">
        <v>23</v>
      </c>
      <c r="C13" s="58" t="s">
        <v>24</v>
      </c>
      <c r="D13" s="59" t="s">
        <v>39</v>
      </c>
      <c r="E13" s="60">
        <v>6</v>
      </c>
      <c r="F13" s="61"/>
      <c r="G13" s="62">
        <v>0</v>
      </c>
      <c r="H13" s="67"/>
      <c r="I13" s="64">
        <v>0</v>
      </c>
      <c r="J13" s="65">
        <f t="shared" si="0"/>
        <v>0</v>
      </c>
      <c r="K13" s="68" t="s">
        <v>40</v>
      </c>
      <c r="L13" s="51"/>
      <c r="M13" s="52">
        <f t="shared" si="1"/>
        <v>0</v>
      </c>
      <c r="N13" s="53"/>
      <c r="O13" s="54" t="s">
        <v>41</v>
      </c>
      <c r="P13" s="55">
        <f>I13+G13*E13</f>
        <v>0</v>
      </c>
      <c r="R13" s="56"/>
    </row>
    <row r="14" spans="2:18" s="24" customFormat="1" ht="15.75" x14ac:dyDescent="0.25">
      <c r="B14" s="41" t="s">
        <v>23</v>
      </c>
      <c r="C14" s="42" t="s">
        <v>24</v>
      </c>
      <c r="D14" s="69" t="s">
        <v>42</v>
      </c>
      <c r="E14" s="70">
        <v>6</v>
      </c>
      <c r="F14" s="71"/>
      <c r="G14" s="62">
        <v>0</v>
      </c>
      <c r="H14" s="67"/>
      <c r="I14" s="64">
        <v>0</v>
      </c>
      <c r="J14" s="49">
        <f t="shared" si="0"/>
        <v>0</v>
      </c>
      <c r="K14" s="68" t="s">
        <v>40</v>
      </c>
      <c r="L14" s="51"/>
      <c r="M14" s="52">
        <f t="shared" si="1"/>
        <v>0</v>
      </c>
      <c r="N14" s="53"/>
      <c r="O14" s="54" t="s">
        <v>43</v>
      </c>
      <c r="P14" s="55">
        <f>I14+G14*E14</f>
        <v>0</v>
      </c>
      <c r="R14" s="56"/>
    </row>
    <row r="15" spans="2:18" s="24" customFormat="1" ht="15.75" x14ac:dyDescent="0.25">
      <c r="B15" s="41" t="s">
        <v>23</v>
      </c>
      <c r="C15" s="42" t="s">
        <v>24</v>
      </c>
      <c r="D15" s="69" t="s">
        <v>44</v>
      </c>
      <c r="E15" s="70">
        <v>6</v>
      </c>
      <c r="F15" s="71"/>
      <c r="G15" s="62">
        <v>0</v>
      </c>
      <c r="H15" s="63"/>
      <c r="I15" s="64">
        <v>0</v>
      </c>
      <c r="J15" s="49">
        <f t="shared" si="0"/>
        <v>0</v>
      </c>
      <c r="K15" s="68" t="s">
        <v>40</v>
      </c>
      <c r="L15" s="51"/>
      <c r="M15" s="52">
        <f t="shared" si="1"/>
        <v>0</v>
      </c>
      <c r="N15" s="53"/>
      <c r="O15" s="54" t="s">
        <v>45</v>
      </c>
      <c r="P15" s="55">
        <f>I15+G15*E15</f>
        <v>0</v>
      </c>
      <c r="R15" s="56"/>
    </row>
    <row r="16" spans="2:18" s="24" customFormat="1" ht="15.75" x14ac:dyDescent="0.25">
      <c r="B16" s="57" t="s">
        <v>23</v>
      </c>
      <c r="C16" s="58" t="s">
        <v>24</v>
      </c>
      <c r="D16" s="59" t="s">
        <v>46</v>
      </c>
      <c r="E16" s="60">
        <v>12</v>
      </c>
      <c r="F16" s="61"/>
      <c r="G16" s="62">
        <v>0</v>
      </c>
      <c r="H16" s="63"/>
      <c r="I16" s="64">
        <v>0</v>
      </c>
      <c r="J16" s="65">
        <f t="shared" si="0"/>
        <v>0</v>
      </c>
      <c r="K16" s="68" t="s">
        <v>47</v>
      </c>
      <c r="L16" s="51"/>
      <c r="M16" s="52">
        <f t="shared" si="1"/>
        <v>0</v>
      </c>
      <c r="N16" s="53"/>
      <c r="O16" s="54" t="s">
        <v>48</v>
      </c>
      <c r="P16" s="55">
        <f>I16+G16*E16</f>
        <v>0</v>
      </c>
      <c r="R16" s="56"/>
    </row>
    <row r="17" spans="2:18" s="24" customFormat="1" ht="15.75" x14ac:dyDescent="0.25">
      <c r="B17" s="57" t="s">
        <v>23</v>
      </c>
      <c r="C17" s="58" t="s">
        <v>24</v>
      </c>
      <c r="D17" s="59" t="s">
        <v>49</v>
      </c>
      <c r="E17" s="60">
        <v>12</v>
      </c>
      <c r="F17" s="61"/>
      <c r="G17" s="62">
        <v>0</v>
      </c>
      <c r="H17" s="63"/>
      <c r="I17" s="64">
        <v>0</v>
      </c>
      <c r="J17" s="65">
        <f t="shared" si="0"/>
        <v>0</v>
      </c>
      <c r="K17" s="68" t="s">
        <v>47</v>
      </c>
      <c r="L17" s="51"/>
      <c r="M17" s="52">
        <f t="shared" si="1"/>
        <v>0</v>
      </c>
      <c r="N17" s="53"/>
      <c r="O17" s="54" t="s">
        <v>50</v>
      </c>
      <c r="P17" s="55">
        <f>I17+G17*E17</f>
        <v>0</v>
      </c>
      <c r="R17" s="56"/>
    </row>
    <row r="18" spans="2:18" s="24" customFormat="1" ht="15.75" x14ac:dyDescent="0.25">
      <c r="B18" s="57" t="s">
        <v>23</v>
      </c>
      <c r="C18" s="58" t="s">
        <v>24</v>
      </c>
      <c r="D18" s="59" t="s">
        <v>51</v>
      </c>
      <c r="E18" s="60">
        <v>9</v>
      </c>
      <c r="F18" s="61"/>
      <c r="G18" s="62">
        <v>0</v>
      </c>
      <c r="H18" s="63"/>
      <c r="I18" s="64">
        <v>0</v>
      </c>
      <c r="J18" s="65">
        <f t="shared" si="0"/>
        <v>0</v>
      </c>
      <c r="K18" s="68" t="s">
        <v>52</v>
      </c>
      <c r="L18" s="51"/>
      <c r="M18" s="52">
        <f t="shared" si="1"/>
        <v>0</v>
      </c>
      <c r="N18" s="53"/>
      <c r="O18" s="54" t="s">
        <v>53</v>
      </c>
      <c r="P18" s="55">
        <f t="shared" ref="P18:P23" si="3">I18+G18*E18</f>
        <v>0</v>
      </c>
      <c r="R18" s="56"/>
    </row>
    <row r="19" spans="2:18" s="24" customFormat="1" ht="15.75" x14ac:dyDescent="0.25">
      <c r="B19" s="57" t="s">
        <v>23</v>
      </c>
      <c r="C19" s="58" t="s">
        <v>24</v>
      </c>
      <c r="D19" s="59" t="s">
        <v>54</v>
      </c>
      <c r="E19" s="60">
        <v>12</v>
      </c>
      <c r="F19" s="61"/>
      <c r="G19" s="62">
        <v>4</v>
      </c>
      <c r="H19" s="67"/>
      <c r="I19" s="64">
        <v>90</v>
      </c>
      <c r="J19" s="65">
        <f>G19+I19/E19</f>
        <v>11.5</v>
      </c>
      <c r="K19" s="68" t="s">
        <v>47</v>
      </c>
      <c r="L19" s="51"/>
      <c r="M19" s="52">
        <f t="shared" si="1"/>
        <v>0</v>
      </c>
      <c r="N19" s="72"/>
      <c r="O19" s="54" t="s">
        <v>55</v>
      </c>
      <c r="P19" s="55">
        <f t="shared" si="3"/>
        <v>138</v>
      </c>
      <c r="R19" s="56"/>
    </row>
    <row r="20" spans="2:18" s="24" customFormat="1" ht="15.75" x14ac:dyDescent="0.25">
      <c r="B20" s="57" t="s">
        <v>23</v>
      </c>
      <c r="C20" s="58" t="s">
        <v>24</v>
      </c>
      <c r="D20" s="59" t="s">
        <v>56</v>
      </c>
      <c r="E20" s="60">
        <v>16</v>
      </c>
      <c r="F20" s="61"/>
      <c r="G20" s="62">
        <v>1</v>
      </c>
      <c r="H20" s="63"/>
      <c r="I20" s="64">
        <v>0</v>
      </c>
      <c r="J20" s="65">
        <f t="shared" si="0"/>
        <v>1</v>
      </c>
      <c r="K20" s="68" t="s">
        <v>57</v>
      </c>
      <c r="L20" s="51"/>
      <c r="M20" s="52">
        <f t="shared" si="1"/>
        <v>0</v>
      </c>
      <c r="N20" s="53"/>
      <c r="O20" s="54" t="s">
        <v>58</v>
      </c>
      <c r="P20" s="55">
        <f t="shared" si="3"/>
        <v>16</v>
      </c>
      <c r="R20" s="56"/>
    </row>
    <row r="21" spans="2:18" s="24" customFormat="1" ht="15.75" x14ac:dyDescent="0.25">
      <c r="B21" s="57" t="s">
        <v>23</v>
      </c>
      <c r="C21" s="58" t="s">
        <v>24</v>
      </c>
      <c r="D21" s="59" t="s">
        <v>59</v>
      </c>
      <c r="E21" s="60">
        <v>6</v>
      </c>
      <c r="F21" s="61"/>
      <c r="G21" s="62">
        <v>0</v>
      </c>
      <c r="H21" s="67"/>
      <c r="I21" s="64">
        <v>0</v>
      </c>
      <c r="J21" s="65">
        <f t="shared" si="0"/>
        <v>0</v>
      </c>
      <c r="K21" s="68" t="s">
        <v>40</v>
      </c>
      <c r="L21" s="51"/>
      <c r="M21" s="52">
        <f t="shared" si="1"/>
        <v>0</v>
      </c>
      <c r="N21" s="53"/>
      <c r="O21" s="54" t="s">
        <v>60</v>
      </c>
      <c r="P21" s="55">
        <f t="shared" si="3"/>
        <v>0</v>
      </c>
      <c r="R21" s="56"/>
    </row>
    <row r="22" spans="2:18" s="24" customFormat="1" ht="15.75" x14ac:dyDescent="0.25">
      <c r="B22" s="41" t="s">
        <v>23</v>
      </c>
      <c r="C22" s="42" t="s">
        <v>24</v>
      </c>
      <c r="D22" s="69" t="s">
        <v>61</v>
      </c>
      <c r="E22" s="70">
        <v>6</v>
      </c>
      <c r="F22" s="71"/>
      <c r="G22" s="62">
        <v>0</v>
      </c>
      <c r="H22" s="67"/>
      <c r="I22" s="64">
        <v>0</v>
      </c>
      <c r="J22" s="49">
        <f t="shared" si="0"/>
        <v>0</v>
      </c>
      <c r="K22" s="68" t="s">
        <v>40</v>
      </c>
      <c r="L22" s="51"/>
      <c r="M22" s="52">
        <f t="shared" si="1"/>
        <v>0</v>
      </c>
      <c r="N22" s="53"/>
      <c r="O22" s="54" t="s">
        <v>62</v>
      </c>
      <c r="P22" s="55">
        <f t="shared" si="3"/>
        <v>0</v>
      </c>
      <c r="R22" s="56"/>
    </row>
    <row r="23" spans="2:18" s="24" customFormat="1" ht="15.75" x14ac:dyDescent="0.25">
      <c r="B23" s="57" t="s">
        <v>23</v>
      </c>
      <c r="C23" s="58" t="s">
        <v>24</v>
      </c>
      <c r="D23" s="59" t="s">
        <v>63</v>
      </c>
      <c r="E23" s="60">
        <v>12</v>
      </c>
      <c r="F23" s="61"/>
      <c r="G23" s="62">
        <v>0</v>
      </c>
      <c r="H23" s="67"/>
      <c r="I23" s="64">
        <v>0</v>
      </c>
      <c r="J23" s="65">
        <f t="shared" si="0"/>
        <v>0</v>
      </c>
      <c r="K23" s="68" t="s">
        <v>47</v>
      </c>
      <c r="L23" s="51"/>
      <c r="M23" s="52">
        <f t="shared" si="1"/>
        <v>0</v>
      </c>
      <c r="N23" s="53"/>
      <c r="O23" s="54" t="s">
        <v>64</v>
      </c>
      <c r="P23" s="55">
        <f t="shared" si="3"/>
        <v>0</v>
      </c>
      <c r="R23" s="56"/>
    </row>
    <row r="24" spans="2:18" s="24" customFormat="1" ht="15.75" x14ac:dyDescent="0.25">
      <c r="B24" s="41" t="s">
        <v>23</v>
      </c>
      <c r="C24" s="42" t="s">
        <v>24</v>
      </c>
      <c r="D24" s="69" t="s">
        <v>65</v>
      </c>
      <c r="E24" s="70">
        <v>12</v>
      </c>
      <c r="F24" s="71"/>
      <c r="G24" s="62">
        <v>0</v>
      </c>
      <c r="H24" s="63"/>
      <c r="I24" s="64">
        <v>0</v>
      </c>
      <c r="J24" s="49">
        <f>G24+I24/E24</f>
        <v>0</v>
      </c>
      <c r="K24" s="68" t="s">
        <v>47</v>
      </c>
      <c r="L24" s="51"/>
      <c r="M24" s="52">
        <f t="shared" si="1"/>
        <v>0</v>
      </c>
      <c r="N24" s="53"/>
      <c r="O24" s="54" t="s">
        <v>66</v>
      </c>
      <c r="P24" s="55">
        <f>I24+G24*E24</f>
        <v>0</v>
      </c>
      <c r="R24" s="56"/>
    </row>
    <row r="25" spans="2:18" s="24" customFormat="1" ht="15.75" x14ac:dyDescent="0.25">
      <c r="B25" s="41" t="s">
        <v>23</v>
      </c>
      <c r="C25" s="42" t="s">
        <v>24</v>
      </c>
      <c r="D25" s="69" t="s">
        <v>67</v>
      </c>
      <c r="E25" s="70">
        <v>12</v>
      </c>
      <c r="F25" s="71"/>
      <c r="G25" s="62">
        <v>0</v>
      </c>
      <c r="H25" s="67"/>
      <c r="I25" s="64">
        <v>0</v>
      </c>
      <c r="J25" s="49">
        <f t="shared" ref="J25:J27" si="4">G25+I25/E25</f>
        <v>0</v>
      </c>
      <c r="K25" s="68" t="s">
        <v>47</v>
      </c>
      <c r="L25" s="51"/>
      <c r="M25" s="52">
        <f t="shared" si="1"/>
        <v>0</v>
      </c>
      <c r="N25" s="53"/>
      <c r="O25" s="54" t="s">
        <v>68</v>
      </c>
      <c r="P25" s="55">
        <f t="shared" ref="P25:P26" si="5">I25+G25*E25</f>
        <v>0</v>
      </c>
      <c r="R25" s="56"/>
    </row>
    <row r="26" spans="2:18" s="24" customFormat="1" ht="15.75" x14ac:dyDescent="0.25">
      <c r="B26" s="41" t="s">
        <v>23</v>
      </c>
      <c r="C26" s="42" t="s">
        <v>24</v>
      </c>
      <c r="D26" s="69" t="s">
        <v>69</v>
      </c>
      <c r="E26" s="70">
        <v>12</v>
      </c>
      <c r="F26" s="71"/>
      <c r="G26" s="62">
        <v>0</v>
      </c>
      <c r="H26" s="67"/>
      <c r="I26" s="64">
        <v>0</v>
      </c>
      <c r="J26" s="49">
        <f t="shared" si="4"/>
        <v>0</v>
      </c>
      <c r="K26" s="68" t="s">
        <v>47</v>
      </c>
      <c r="L26" s="51"/>
      <c r="M26" s="52">
        <f t="shared" si="1"/>
        <v>0</v>
      </c>
      <c r="N26" s="53"/>
      <c r="O26" s="54" t="s">
        <v>70</v>
      </c>
      <c r="P26" s="55">
        <f t="shared" si="5"/>
        <v>0</v>
      </c>
      <c r="R26" s="56"/>
    </row>
    <row r="27" spans="2:18" s="24" customFormat="1" ht="15.75" x14ac:dyDescent="0.25">
      <c r="B27" s="57" t="s">
        <v>23</v>
      </c>
      <c r="C27" s="58" t="s">
        <v>24</v>
      </c>
      <c r="D27" s="59" t="s">
        <v>71</v>
      </c>
      <c r="E27" s="60">
        <v>12</v>
      </c>
      <c r="F27" s="61"/>
      <c r="G27" s="62">
        <v>0</v>
      </c>
      <c r="H27" s="67"/>
      <c r="I27" s="64">
        <v>0</v>
      </c>
      <c r="J27" s="65">
        <f t="shared" si="4"/>
        <v>0</v>
      </c>
      <c r="K27" s="66" t="s">
        <v>47</v>
      </c>
      <c r="L27" s="51"/>
      <c r="M27" s="52">
        <f t="shared" si="1"/>
        <v>0</v>
      </c>
      <c r="N27" s="53"/>
      <c r="O27" s="54" t="s">
        <v>72</v>
      </c>
      <c r="P27" s="55">
        <f>I27+G27*E27</f>
        <v>0</v>
      </c>
      <c r="R27" s="56"/>
    </row>
    <row r="28" spans="2:18" s="24" customFormat="1" ht="15.75" x14ac:dyDescent="0.25">
      <c r="B28" s="41" t="s">
        <v>23</v>
      </c>
      <c r="C28" s="42" t="s">
        <v>24</v>
      </c>
      <c r="D28" s="69" t="s">
        <v>73</v>
      </c>
      <c r="E28" s="70">
        <v>12</v>
      </c>
      <c r="F28" s="71"/>
      <c r="G28" s="62">
        <v>0</v>
      </c>
      <c r="H28" s="67"/>
      <c r="I28" s="64">
        <v>0</v>
      </c>
      <c r="J28" s="49">
        <f t="shared" si="0"/>
        <v>0</v>
      </c>
      <c r="K28" s="68" t="s">
        <v>47</v>
      </c>
      <c r="L28" s="51"/>
      <c r="M28" s="52">
        <f t="shared" si="1"/>
        <v>0</v>
      </c>
      <c r="N28" s="53"/>
      <c r="O28" s="54" t="s">
        <v>74</v>
      </c>
      <c r="P28" s="55">
        <f>I28+G28*E28</f>
        <v>0</v>
      </c>
      <c r="R28" s="56"/>
    </row>
    <row r="29" spans="2:18" s="24" customFormat="1" ht="15.75" x14ac:dyDescent="0.25">
      <c r="B29" s="41" t="s">
        <v>23</v>
      </c>
      <c r="C29" s="42" t="s">
        <v>24</v>
      </c>
      <c r="D29" s="69" t="s">
        <v>75</v>
      </c>
      <c r="E29" s="70">
        <v>12</v>
      </c>
      <c r="F29" s="71"/>
      <c r="G29" s="62">
        <v>10</v>
      </c>
      <c r="H29" s="67"/>
      <c r="I29" s="64">
        <v>17</v>
      </c>
      <c r="J29" s="49">
        <f t="shared" si="0"/>
        <v>11.416666666666666</v>
      </c>
      <c r="K29" s="68" t="s">
        <v>47</v>
      </c>
      <c r="L29" s="51"/>
      <c r="M29" s="52">
        <f t="shared" si="1"/>
        <v>0</v>
      </c>
      <c r="N29" s="53"/>
      <c r="O29" s="54" t="s">
        <v>76</v>
      </c>
      <c r="P29" s="55">
        <f>I29+G29*E29</f>
        <v>137</v>
      </c>
      <c r="R29" s="56"/>
    </row>
    <row r="30" spans="2:18" s="24" customFormat="1" ht="15.75" x14ac:dyDescent="0.25">
      <c r="B30" s="41" t="s">
        <v>23</v>
      </c>
      <c r="C30" s="42" t="s">
        <v>24</v>
      </c>
      <c r="D30" s="69" t="s">
        <v>77</v>
      </c>
      <c r="E30" s="70">
        <v>12</v>
      </c>
      <c r="F30" s="71"/>
      <c r="G30" s="62">
        <v>0</v>
      </c>
      <c r="H30" s="67"/>
      <c r="I30" s="64">
        <v>0</v>
      </c>
      <c r="J30" s="49">
        <f t="shared" si="0"/>
        <v>0</v>
      </c>
      <c r="K30" s="68" t="s">
        <v>47</v>
      </c>
      <c r="L30" s="51"/>
      <c r="M30" s="52">
        <f t="shared" si="1"/>
        <v>0</v>
      </c>
      <c r="N30" s="53"/>
      <c r="O30" s="54" t="s">
        <v>78</v>
      </c>
      <c r="P30" s="55">
        <f t="shared" ref="P30:P36" si="6">I30+G30*E30</f>
        <v>0</v>
      </c>
      <c r="R30" s="56"/>
    </row>
    <row r="31" spans="2:18" s="24" customFormat="1" ht="15.75" x14ac:dyDescent="0.25">
      <c r="B31" s="41" t="s">
        <v>23</v>
      </c>
      <c r="C31" s="42" t="s">
        <v>24</v>
      </c>
      <c r="D31" s="69" t="s">
        <v>79</v>
      </c>
      <c r="E31" s="70">
        <v>12</v>
      </c>
      <c r="F31" s="71"/>
      <c r="G31" s="62">
        <v>25</v>
      </c>
      <c r="H31" s="67"/>
      <c r="I31" s="64">
        <v>17</v>
      </c>
      <c r="J31" s="49">
        <f t="shared" si="0"/>
        <v>26.416666666666668</v>
      </c>
      <c r="K31" s="68" t="s">
        <v>47</v>
      </c>
      <c r="L31" s="51"/>
      <c r="M31" s="52">
        <f t="shared" si="1"/>
        <v>0</v>
      </c>
      <c r="N31" s="53"/>
      <c r="O31" s="54" t="s">
        <v>80</v>
      </c>
      <c r="P31" s="55">
        <f t="shared" si="6"/>
        <v>317</v>
      </c>
      <c r="R31" s="56"/>
    </row>
    <row r="32" spans="2:18" s="24" customFormat="1" ht="15.75" x14ac:dyDescent="0.25">
      <c r="B32" s="41" t="s">
        <v>23</v>
      </c>
      <c r="C32" s="42" t="s">
        <v>24</v>
      </c>
      <c r="D32" s="69" t="s">
        <v>81</v>
      </c>
      <c r="E32" s="70">
        <v>12</v>
      </c>
      <c r="F32" s="71"/>
      <c r="G32" s="62">
        <v>7</v>
      </c>
      <c r="H32" s="67"/>
      <c r="I32" s="64">
        <v>30</v>
      </c>
      <c r="J32" s="49">
        <f t="shared" si="0"/>
        <v>9.5</v>
      </c>
      <c r="K32" s="68" t="s">
        <v>47</v>
      </c>
      <c r="L32" s="51"/>
      <c r="M32" s="52">
        <f t="shared" si="1"/>
        <v>0</v>
      </c>
      <c r="N32" s="53"/>
      <c r="O32" s="54" t="s">
        <v>82</v>
      </c>
      <c r="P32" s="55">
        <f t="shared" si="6"/>
        <v>114</v>
      </c>
      <c r="R32" s="56"/>
    </row>
    <row r="33" spans="2:18" s="24" customFormat="1" ht="15.75" x14ac:dyDescent="0.25">
      <c r="B33" s="41" t="s">
        <v>23</v>
      </c>
      <c r="C33" s="42" t="s">
        <v>24</v>
      </c>
      <c r="D33" s="69" t="s">
        <v>83</v>
      </c>
      <c r="E33" s="70">
        <v>12</v>
      </c>
      <c r="F33" s="71"/>
      <c r="G33" s="62">
        <v>13</v>
      </c>
      <c r="H33" s="67"/>
      <c r="I33" s="64">
        <v>23</v>
      </c>
      <c r="J33" s="49">
        <f t="shared" si="0"/>
        <v>14.916666666666666</v>
      </c>
      <c r="K33" s="68" t="s">
        <v>47</v>
      </c>
      <c r="L33" s="51"/>
      <c r="M33" s="52">
        <f t="shared" si="1"/>
        <v>0</v>
      </c>
      <c r="N33" s="53"/>
      <c r="O33" s="54" t="s">
        <v>84</v>
      </c>
      <c r="P33" s="55">
        <f t="shared" si="6"/>
        <v>179</v>
      </c>
      <c r="R33" s="56"/>
    </row>
    <row r="34" spans="2:18" s="24" customFormat="1" ht="15.75" x14ac:dyDescent="0.25">
      <c r="B34" s="41" t="s">
        <v>23</v>
      </c>
      <c r="C34" s="42" t="s">
        <v>24</v>
      </c>
      <c r="D34" s="69" t="s">
        <v>85</v>
      </c>
      <c r="E34" s="70">
        <v>6</v>
      </c>
      <c r="F34" s="71"/>
      <c r="G34" s="62">
        <v>0</v>
      </c>
      <c r="H34" s="67"/>
      <c r="I34" s="64">
        <v>0</v>
      </c>
      <c r="J34" s="49">
        <f t="shared" si="0"/>
        <v>0</v>
      </c>
      <c r="K34" s="68" t="s">
        <v>40</v>
      </c>
      <c r="L34" s="51"/>
      <c r="M34" s="52">
        <f t="shared" si="1"/>
        <v>0</v>
      </c>
      <c r="N34" s="53"/>
      <c r="O34" s="54" t="s">
        <v>86</v>
      </c>
      <c r="P34" s="55">
        <f t="shared" si="6"/>
        <v>0</v>
      </c>
      <c r="R34" s="56"/>
    </row>
    <row r="35" spans="2:18" s="24" customFormat="1" ht="15.75" x14ac:dyDescent="0.25">
      <c r="B35" s="41" t="s">
        <v>23</v>
      </c>
      <c r="C35" s="42" t="s">
        <v>24</v>
      </c>
      <c r="D35" s="69" t="s">
        <v>87</v>
      </c>
      <c r="E35" s="70">
        <v>24</v>
      </c>
      <c r="F35" s="71"/>
      <c r="G35" s="62">
        <v>0</v>
      </c>
      <c r="H35" s="67"/>
      <c r="I35" s="64">
        <v>0</v>
      </c>
      <c r="J35" s="49">
        <f t="shared" si="0"/>
        <v>0</v>
      </c>
      <c r="K35" s="68" t="s">
        <v>88</v>
      </c>
      <c r="L35" s="68"/>
      <c r="M35" s="52">
        <f t="shared" si="1"/>
        <v>0</v>
      </c>
      <c r="N35" s="53"/>
      <c r="O35" s="54" t="s">
        <v>89</v>
      </c>
      <c r="P35" s="55">
        <f t="shared" si="6"/>
        <v>0</v>
      </c>
      <c r="R35" s="56"/>
    </row>
    <row r="36" spans="2:18" s="24" customFormat="1" ht="15.75" x14ac:dyDescent="0.25">
      <c r="B36" s="41" t="s">
        <v>23</v>
      </c>
      <c r="C36" s="42" t="s">
        <v>24</v>
      </c>
      <c r="D36" s="69" t="s">
        <v>90</v>
      </c>
      <c r="E36" s="70">
        <v>24</v>
      </c>
      <c r="F36" s="71"/>
      <c r="G36" s="62">
        <v>1</v>
      </c>
      <c r="H36" s="67"/>
      <c r="I36" s="64">
        <v>28</v>
      </c>
      <c r="J36" s="49">
        <f t="shared" si="0"/>
        <v>2.166666666666667</v>
      </c>
      <c r="K36" s="68" t="s">
        <v>91</v>
      </c>
      <c r="L36" s="68"/>
      <c r="M36" s="52">
        <f t="shared" si="1"/>
        <v>0</v>
      </c>
      <c r="N36" s="53"/>
      <c r="O36" s="54" t="s">
        <v>92</v>
      </c>
      <c r="P36" s="55">
        <f t="shared" si="6"/>
        <v>52</v>
      </c>
      <c r="R36" s="56"/>
    </row>
    <row r="37" spans="2:18" s="24" customFormat="1" ht="15.75" x14ac:dyDescent="0.25">
      <c r="B37" s="41" t="s">
        <v>23</v>
      </c>
      <c r="C37" s="42" t="s">
        <v>24</v>
      </c>
      <c r="D37" s="69" t="s">
        <v>93</v>
      </c>
      <c r="E37" s="70">
        <v>24</v>
      </c>
      <c r="F37" s="71"/>
      <c r="G37" s="62">
        <v>0</v>
      </c>
      <c r="H37" s="67"/>
      <c r="I37" s="64">
        <v>32</v>
      </c>
      <c r="J37" s="49">
        <f>G37+I37/E37</f>
        <v>1.3333333333333333</v>
      </c>
      <c r="K37" s="68" t="s">
        <v>88</v>
      </c>
      <c r="L37" s="51"/>
      <c r="M37" s="52">
        <f t="shared" si="1"/>
        <v>0</v>
      </c>
      <c r="N37" s="53"/>
      <c r="O37" s="54" t="s">
        <v>94</v>
      </c>
      <c r="P37" s="55">
        <f>I37+G37*E37</f>
        <v>32</v>
      </c>
      <c r="R37" s="56"/>
    </row>
    <row r="38" spans="2:18" s="24" customFormat="1" ht="15.75" x14ac:dyDescent="0.25">
      <c r="B38" s="41" t="s">
        <v>23</v>
      </c>
      <c r="C38" s="42" t="s">
        <v>24</v>
      </c>
      <c r="D38" s="69" t="s">
        <v>95</v>
      </c>
      <c r="E38" s="70">
        <v>24</v>
      </c>
      <c r="F38" s="71"/>
      <c r="G38" s="62">
        <v>0</v>
      </c>
      <c r="H38" s="67"/>
      <c r="I38" s="64">
        <v>0</v>
      </c>
      <c r="J38" s="49">
        <f>G38+I38/E38</f>
        <v>0</v>
      </c>
      <c r="K38" s="68" t="s">
        <v>88</v>
      </c>
      <c r="L38" s="51"/>
      <c r="M38" s="52">
        <f t="shared" si="1"/>
        <v>0</v>
      </c>
      <c r="N38" s="53"/>
      <c r="O38" s="54" t="s">
        <v>96</v>
      </c>
      <c r="P38" s="55">
        <f>I38+G38*E38</f>
        <v>0</v>
      </c>
      <c r="R38" s="56"/>
    </row>
    <row r="39" spans="2:18" s="24" customFormat="1" ht="15.75" x14ac:dyDescent="0.25">
      <c r="B39" s="41" t="s">
        <v>23</v>
      </c>
      <c r="C39" s="42" t="s">
        <v>24</v>
      </c>
      <c r="D39" s="69" t="s">
        <v>97</v>
      </c>
      <c r="E39" s="70">
        <v>24</v>
      </c>
      <c r="F39" s="71"/>
      <c r="G39" s="62">
        <v>0</v>
      </c>
      <c r="H39" s="67"/>
      <c r="I39" s="64">
        <v>0</v>
      </c>
      <c r="J39" s="49">
        <f>G39+I39/E39</f>
        <v>0</v>
      </c>
      <c r="K39" s="68" t="s">
        <v>88</v>
      </c>
      <c r="L39" s="51"/>
      <c r="M39" s="52">
        <f t="shared" si="1"/>
        <v>0</v>
      </c>
      <c r="N39" s="53"/>
      <c r="O39" s="54" t="s">
        <v>98</v>
      </c>
      <c r="P39" s="55">
        <f>I39+G39*E39</f>
        <v>0</v>
      </c>
      <c r="R39" s="56"/>
    </row>
    <row r="40" spans="2:18" s="24" customFormat="1" ht="15.75" x14ac:dyDescent="0.25">
      <c r="B40" s="57" t="s">
        <v>23</v>
      </c>
      <c r="C40" s="58" t="s">
        <v>24</v>
      </c>
      <c r="D40" s="59" t="s">
        <v>99</v>
      </c>
      <c r="E40" s="60">
        <v>300</v>
      </c>
      <c r="F40" s="61"/>
      <c r="G40" s="67"/>
      <c r="H40" s="67"/>
      <c r="I40" s="64">
        <v>0</v>
      </c>
      <c r="J40" s="65">
        <f>I40</f>
        <v>0</v>
      </c>
      <c r="K40" s="68" t="s">
        <v>100</v>
      </c>
      <c r="L40" s="51"/>
      <c r="M40" s="52">
        <f t="shared" si="1"/>
        <v>0</v>
      </c>
      <c r="N40" s="53"/>
      <c r="O40" s="54">
        <v>6033000083586</v>
      </c>
      <c r="P40" s="55">
        <f>J40</f>
        <v>0</v>
      </c>
      <c r="R40" s="56"/>
    </row>
    <row r="41" spans="2:18" s="24" customFormat="1" ht="15.75" x14ac:dyDescent="0.25">
      <c r="B41" s="57" t="s">
        <v>23</v>
      </c>
      <c r="C41" s="58" t="s">
        <v>24</v>
      </c>
      <c r="D41" s="59" t="s">
        <v>101</v>
      </c>
      <c r="E41" s="60">
        <v>6</v>
      </c>
      <c r="F41" s="61"/>
      <c r="G41" s="62">
        <v>0</v>
      </c>
      <c r="H41" s="67"/>
      <c r="I41" s="64">
        <v>0</v>
      </c>
      <c r="J41" s="65">
        <f>G41+I41/E41</f>
        <v>0</v>
      </c>
      <c r="K41" s="68" t="s">
        <v>40</v>
      </c>
      <c r="L41" s="51"/>
      <c r="M41" s="52">
        <f t="shared" si="1"/>
        <v>0</v>
      </c>
      <c r="N41" s="53"/>
      <c r="O41" s="54" t="s">
        <v>102</v>
      </c>
      <c r="P41" s="55">
        <f t="shared" ref="P41:P48" si="7">I41+G41*E41</f>
        <v>0</v>
      </c>
      <c r="R41" s="56"/>
    </row>
    <row r="42" spans="2:18" s="24" customFormat="1" ht="15.75" x14ac:dyDescent="0.25">
      <c r="B42" s="57" t="s">
        <v>23</v>
      </c>
      <c r="C42" s="58" t="s">
        <v>24</v>
      </c>
      <c r="D42" s="59" t="s">
        <v>103</v>
      </c>
      <c r="E42" s="60">
        <v>6</v>
      </c>
      <c r="F42" s="61"/>
      <c r="G42" s="62">
        <v>0</v>
      </c>
      <c r="H42" s="67"/>
      <c r="I42" s="64">
        <v>0</v>
      </c>
      <c r="J42" s="65">
        <f>G42+I42/E42</f>
        <v>0</v>
      </c>
      <c r="K42" s="66" t="s">
        <v>40</v>
      </c>
      <c r="L42" s="51"/>
      <c r="M42" s="52">
        <f t="shared" si="1"/>
        <v>0</v>
      </c>
      <c r="N42" s="53"/>
      <c r="O42" s="54" t="s">
        <v>104</v>
      </c>
      <c r="P42" s="55">
        <f>I42+G42*E42</f>
        <v>0</v>
      </c>
      <c r="R42" s="56"/>
    </row>
    <row r="43" spans="2:18" s="24" customFormat="1" ht="15.75" x14ac:dyDescent="0.25">
      <c r="B43" s="57" t="s">
        <v>23</v>
      </c>
      <c r="C43" s="58" t="s">
        <v>24</v>
      </c>
      <c r="D43" s="59" t="s">
        <v>105</v>
      </c>
      <c r="E43" s="60">
        <v>12</v>
      </c>
      <c r="F43" s="61"/>
      <c r="G43" s="62">
        <v>0</v>
      </c>
      <c r="H43" s="67"/>
      <c r="I43" s="64">
        <v>0</v>
      </c>
      <c r="J43" s="65">
        <f>G43+I43/E43</f>
        <v>0</v>
      </c>
      <c r="K43" s="68" t="s">
        <v>47</v>
      </c>
      <c r="L43" s="51"/>
      <c r="M43" s="52">
        <f t="shared" si="1"/>
        <v>0</v>
      </c>
      <c r="N43" s="53"/>
      <c r="O43" s="54" t="s">
        <v>106</v>
      </c>
      <c r="P43" s="55">
        <f t="shared" si="7"/>
        <v>0</v>
      </c>
      <c r="R43" s="56"/>
    </row>
    <row r="44" spans="2:18" s="24" customFormat="1" ht="15.75" x14ac:dyDescent="0.25">
      <c r="B44" s="57" t="s">
        <v>23</v>
      </c>
      <c r="C44" s="58" t="s">
        <v>24</v>
      </c>
      <c r="D44" s="59" t="s">
        <v>107</v>
      </c>
      <c r="E44" s="60">
        <v>6</v>
      </c>
      <c r="F44" s="61"/>
      <c r="G44" s="62">
        <v>8</v>
      </c>
      <c r="H44" s="67"/>
      <c r="I44" s="64">
        <v>9</v>
      </c>
      <c r="J44" s="65">
        <f t="shared" ref="J44:J45" si="8">G44+I44/E44</f>
        <v>9.5</v>
      </c>
      <c r="K44" s="66" t="s">
        <v>40</v>
      </c>
      <c r="L44" s="51"/>
      <c r="M44" s="52">
        <f t="shared" si="1"/>
        <v>0</v>
      </c>
      <c r="N44" s="53"/>
      <c r="O44" s="54" t="s">
        <v>108</v>
      </c>
      <c r="P44" s="55">
        <f t="shared" si="7"/>
        <v>57</v>
      </c>
      <c r="R44" s="56"/>
    </row>
    <row r="45" spans="2:18" s="24" customFormat="1" ht="15.75" x14ac:dyDescent="0.25">
      <c r="B45" s="57" t="s">
        <v>23</v>
      </c>
      <c r="C45" s="58" t="s">
        <v>24</v>
      </c>
      <c r="D45" s="59" t="s">
        <v>109</v>
      </c>
      <c r="E45" s="60">
        <v>24</v>
      </c>
      <c r="F45" s="61"/>
      <c r="G45" s="62">
        <v>1</v>
      </c>
      <c r="H45" s="67"/>
      <c r="I45" s="64">
        <v>23</v>
      </c>
      <c r="J45" s="65">
        <f t="shared" si="8"/>
        <v>1.9583333333333335</v>
      </c>
      <c r="K45" s="66" t="s">
        <v>88</v>
      </c>
      <c r="L45" s="51"/>
      <c r="M45" s="52">
        <f t="shared" si="1"/>
        <v>0</v>
      </c>
      <c r="N45" s="53"/>
      <c r="O45" s="54" t="s">
        <v>110</v>
      </c>
      <c r="P45" s="55">
        <f t="shared" si="7"/>
        <v>47</v>
      </c>
      <c r="R45" s="56"/>
    </row>
    <row r="46" spans="2:18" s="24" customFormat="1" ht="15.75" x14ac:dyDescent="0.25">
      <c r="B46" s="57" t="s">
        <v>23</v>
      </c>
      <c r="C46" s="58" t="s">
        <v>24</v>
      </c>
      <c r="D46" s="59" t="s">
        <v>111</v>
      </c>
      <c r="E46" s="73">
        <v>25</v>
      </c>
      <c r="F46" s="61"/>
      <c r="G46" s="67"/>
      <c r="H46" s="67"/>
      <c r="I46" s="64">
        <v>0</v>
      </c>
      <c r="J46" s="65">
        <f>I46</f>
        <v>0</v>
      </c>
      <c r="K46" s="68" t="s">
        <v>100</v>
      </c>
      <c r="L46" s="51"/>
      <c r="M46" s="52">
        <f t="shared" si="1"/>
        <v>0</v>
      </c>
      <c r="N46" s="53"/>
      <c r="O46" s="54">
        <v>5410033853002</v>
      </c>
      <c r="P46" s="55">
        <f>I46+G46*E46</f>
        <v>0</v>
      </c>
      <c r="R46" s="56"/>
    </row>
    <row r="47" spans="2:18" s="24" customFormat="1" ht="15.75" x14ac:dyDescent="0.25">
      <c r="B47" s="57" t="s">
        <v>23</v>
      </c>
      <c r="C47" s="58" t="s">
        <v>24</v>
      </c>
      <c r="D47" s="59" t="s">
        <v>112</v>
      </c>
      <c r="E47" s="60">
        <v>12</v>
      </c>
      <c r="F47" s="61"/>
      <c r="G47" s="62">
        <v>0</v>
      </c>
      <c r="H47" s="67"/>
      <c r="I47" s="64">
        <v>0</v>
      </c>
      <c r="J47" s="65">
        <f>G47+I47/E47</f>
        <v>0</v>
      </c>
      <c r="K47" s="68" t="s">
        <v>113</v>
      </c>
      <c r="L47" s="51"/>
      <c r="M47" s="52">
        <f t="shared" si="1"/>
        <v>0</v>
      </c>
      <c r="N47" s="53"/>
      <c r="O47" s="54">
        <v>4033854001301</v>
      </c>
      <c r="P47" s="55">
        <f t="shared" si="7"/>
        <v>0</v>
      </c>
      <c r="R47" s="56"/>
    </row>
    <row r="48" spans="2:18" s="24" customFormat="1" ht="15.75" x14ac:dyDescent="0.25">
      <c r="B48" s="41" t="s">
        <v>23</v>
      </c>
      <c r="C48" s="42" t="s">
        <v>24</v>
      </c>
      <c r="D48" s="69" t="s">
        <v>114</v>
      </c>
      <c r="E48" s="70">
        <v>12</v>
      </c>
      <c r="F48" s="71"/>
      <c r="G48" s="62">
        <v>0</v>
      </c>
      <c r="H48" s="67"/>
      <c r="I48" s="64">
        <v>0</v>
      </c>
      <c r="J48" s="49">
        <f>G48+I48/E48</f>
        <v>0</v>
      </c>
      <c r="K48" s="68" t="s">
        <v>113</v>
      </c>
      <c r="L48" s="51"/>
      <c r="M48" s="52">
        <f t="shared" si="1"/>
        <v>0</v>
      </c>
      <c r="N48" s="53"/>
      <c r="O48" s="54" t="s">
        <v>115</v>
      </c>
      <c r="P48" s="55">
        <f t="shared" si="7"/>
        <v>0</v>
      </c>
      <c r="R48" s="56"/>
    </row>
    <row r="49" spans="2:19" s="24" customFormat="1" ht="15.75" x14ac:dyDescent="0.25">
      <c r="B49" s="41" t="s">
        <v>23</v>
      </c>
      <c r="C49" s="42" t="s">
        <v>24</v>
      </c>
      <c r="D49" s="69" t="s">
        <v>116</v>
      </c>
      <c r="E49" s="70">
        <v>6</v>
      </c>
      <c r="F49" s="71"/>
      <c r="G49" s="62">
        <v>0</v>
      </c>
      <c r="H49" s="67"/>
      <c r="I49" s="64">
        <v>0</v>
      </c>
      <c r="J49" s="49">
        <f>G49+I49/E49</f>
        <v>0</v>
      </c>
      <c r="K49" s="68" t="s">
        <v>117</v>
      </c>
      <c r="L49" s="51"/>
      <c r="M49" s="52">
        <f t="shared" si="1"/>
        <v>0</v>
      </c>
      <c r="N49" s="53"/>
      <c r="O49" s="54" t="s">
        <v>118</v>
      </c>
      <c r="P49" s="55">
        <f>I49+G49*E49</f>
        <v>0</v>
      </c>
      <c r="R49" s="56"/>
    </row>
    <row r="50" spans="2:19" s="24" customFormat="1" ht="15.75" x14ac:dyDescent="0.25">
      <c r="B50" s="74" t="s">
        <v>119</v>
      </c>
      <c r="C50" s="75" t="s">
        <v>24</v>
      </c>
      <c r="D50" s="76" t="s">
        <v>120</v>
      </c>
      <c r="E50" s="77">
        <v>330</v>
      </c>
      <c r="F50" s="78">
        <v>66</v>
      </c>
      <c r="G50" s="79">
        <v>0</v>
      </c>
      <c r="H50" s="79">
        <v>0</v>
      </c>
      <c r="I50" s="79">
        <v>0</v>
      </c>
      <c r="J50" s="80">
        <f>G50+H50*F50/E50+I50/E50</f>
        <v>0</v>
      </c>
      <c r="K50" s="81" t="s">
        <v>121</v>
      </c>
      <c r="L50" s="82"/>
      <c r="M50" s="83">
        <f t="shared" si="1"/>
        <v>0</v>
      </c>
      <c r="N50" s="53"/>
      <c r="O50" s="84" t="s">
        <v>122</v>
      </c>
      <c r="P50" s="85">
        <f t="shared" ref="P50:P114" si="9">I50+H50*F50+G50*E50</f>
        <v>0</v>
      </c>
      <c r="Q50" s="86"/>
      <c r="R50" s="56"/>
    </row>
    <row r="51" spans="2:19" s="24" customFormat="1" ht="15.75" x14ac:dyDescent="0.25">
      <c r="B51" s="74" t="s">
        <v>119</v>
      </c>
      <c r="C51" s="75" t="s">
        <v>24</v>
      </c>
      <c r="D51" s="76" t="s">
        <v>123</v>
      </c>
      <c r="E51" s="77">
        <v>340</v>
      </c>
      <c r="F51" s="78">
        <v>68</v>
      </c>
      <c r="G51" s="79">
        <v>9</v>
      </c>
      <c r="H51" s="87">
        <v>3</v>
      </c>
      <c r="I51" s="88">
        <v>28</v>
      </c>
      <c r="J51" s="80">
        <f>G51+H51*F51/E51+I51/E51</f>
        <v>9.6823529411764699</v>
      </c>
      <c r="K51" s="81" t="s">
        <v>121</v>
      </c>
      <c r="L51" s="82"/>
      <c r="M51" s="83">
        <f t="shared" si="1"/>
        <v>0</v>
      </c>
      <c r="O51" s="84" t="s">
        <v>124</v>
      </c>
      <c r="P51" s="85">
        <f t="shared" si="9"/>
        <v>3292</v>
      </c>
      <c r="Q51" s="86"/>
      <c r="R51" s="56"/>
    </row>
    <row r="52" spans="2:19" s="24" customFormat="1" ht="15.75" x14ac:dyDescent="0.25">
      <c r="B52" s="74" t="s">
        <v>119</v>
      </c>
      <c r="C52" s="75" t="s">
        <v>24</v>
      </c>
      <c r="D52" s="76" t="s">
        <v>125</v>
      </c>
      <c r="E52" s="77">
        <v>67</v>
      </c>
      <c r="F52" s="89"/>
      <c r="G52" s="79">
        <v>0</v>
      </c>
      <c r="H52" s="90"/>
      <c r="I52" s="88">
        <v>39</v>
      </c>
      <c r="J52" s="80">
        <f>G52+I52/E52</f>
        <v>0.58208955223880599</v>
      </c>
      <c r="K52" s="81" t="s">
        <v>121</v>
      </c>
      <c r="L52" s="82"/>
      <c r="M52" s="83">
        <f t="shared" si="1"/>
        <v>0</v>
      </c>
      <c r="N52" s="53"/>
      <c r="O52" s="84" t="s">
        <v>126</v>
      </c>
      <c r="P52" s="85">
        <f>I52+G52*E52</f>
        <v>39</v>
      </c>
      <c r="Q52" s="86"/>
      <c r="R52" s="56"/>
    </row>
    <row r="53" spans="2:19" s="24" customFormat="1" ht="15.75" x14ac:dyDescent="0.25">
      <c r="B53" s="74" t="s">
        <v>119</v>
      </c>
      <c r="C53" s="75" t="s">
        <v>24</v>
      </c>
      <c r="D53" s="76" t="s">
        <v>127</v>
      </c>
      <c r="E53" s="77">
        <v>300</v>
      </c>
      <c r="F53" s="78">
        <v>50</v>
      </c>
      <c r="G53" s="79">
        <v>0</v>
      </c>
      <c r="H53" s="87">
        <v>0</v>
      </c>
      <c r="I53" s="88">
        <v>0</v>
      </c>
      <c r="J53" s="80">
        <f t="shared" ref="J53:J60" si="10">G53+H53*F53/E53+I53/E53</f>
        <v>0</v>
      </c>
      <c r="K53" s="81" t="s">
        <v>121</v>
      </c>
      <c r="L53" s="82"/>
      <c r="M53" s="83">
        <f t="shared" si="1"/>
        <v>0</v>
      </c>
      <c r="N53" s="53"/>
      <c r="O53" s="84" t="s">
        <v>128</v>
      </c>
      <c r="P53" s="85">
        <f t="shared" si="9"/>
        <v>0</v>
      </c>
      <c r="Q53" s="86"/>
      <c r="R53" s="56"/>
    </row>
    <row r="54" spans="2:19" s="24" customFormat="1" ht="15.75" x14ac:dyDescent="0.25">
      <c r="B54" s="74" t="s">
        <v>119</v>
      </c>
      <c r="C54" s="75" t="s">
        <v>24</v>
      </c>
      <c r="D54" s="76" t="s">
        <v>129</v>
      </c>
      <c r="E54" s="77">
        <v>450</v>
      </c>
      <c r="F54" s="78">
        <v>50</v>
      </c>
      <c r="G54" s="79">
        <v>2</v>
      </c>
      <c r="H54" s="87">
        <v>0</v>
      </c>
      <c r="I54" s="88">
        <v>46</v>
      </c>
      <c r="J54" s="80">
        <f t="shared" si="10"/>
        <v>2.1022222222222222</v>
      </c>
      <c r="K54" s="81" t="s">
        <v>121</v>
      </c>
      <c r="L54" s="82"/>
      <c r="M54" s="83">
        <f t="shared" si="1"/>
        <v>0</v>
      </c>
      <c r="N54" s="53"/>
      <c r="O54" s="84" t="s">
        <v>130</v>
      </c>
      <c r="P54" s="85">
        <f>I54+H54*F54+G54*E54</f>
        <v>946</v>
      </c>
      <c r="Q54" s="86"/>
      <c r="R54" s="56"/>
    </row>
    <row r="55" spans="2:19" s="24" customFormat="1" ht="15.75" x14ac:dyDescent="0.25">
      <c r="B55" s="74" t="s">
        <v>119</v>
      </c>
      <c r="C55" s="75" t="s">
        <v>24</v>
      </c>
      <c r="D55" s="76" t="s">
        <v>131</v>
      </c>
      <c r="E55" s="77">
        <v>208</v>
      </c>
      <c r="F55" s="78">
        <v>52</v>
      </c>
      <c r="G55" s="79">
        <v>0</v>
      </c>
      <c r="H55" s="79">
        <v>0</v>
      </c>
      <c r="I55" s="79">
        <v>0</v>
      </c>
      <c r="J55" s="80">
        <f t="shared" si="10"/>
        <v>0</v>
      </c>
      <c r="K55" s="81" t="s">
        <v>121</v>
      </c>
      <c r="L55" s="82"/>
      <c r="M55" s="83">
        <f t="shared" si="1"/>
        <v>0</v>
      </c>
      <c r="N55" s="53"/>
      <c r="O55" s="84" t="s">
        <v>132</v>
      </c>
      <c r="P55" s="85">
        <f>I55+H55*F55+G55*E55</f>
        <v>0</v>
      </c>
      <c r="Q55" s="86"/>
      <c r="R55" s="56"/>
    </row>
    <row r="56" spans="2:19" s="24" customFormat="1" ht="15.75" x14ac:dyDescent="0.25">
      <c r="B56" s="74" t="s">
        <v>119</v>
      </c>
      <c r="C56" s="75" t="s">
        <v>24</v>
      </c>
      <c r="D56" s="76" t="s">
        <v>133</v>
      </c>
      <c r="E56" s="77">
        <v>136</v>
      </c>
      <c r="F56" s="78">
        <v>17</v>
      </c>
      <c r="G56" s="79">
        <v>0</v>
      </c>
      <c r="H56" s="79">
        <v>0</v>
      </c>
      <c r="I56" s="79">
        <v>0</v>
      </c>
      <c r="J56" s="80">
        <f t="shared" si="10"/>
        <v>0</v>
      </c>
      <c r="K56" s="81" t="s">
        <v>121</v>
      </c>
      <c r="L56" s="82"/>
      <c r="M56" s="83">
        <f t="shared" si="1"/>
        <v>0</v>
      </c>
      <c r="N56" s="53"/>
      <c r="O56" s="84" t="s">
        <v>134</v>
      </c>
      <c r="P56" s="85">
        <f t="shared" si="9"/>
        <v>0</v>
      </c>
      <c r="Q56" s="86"/>
      <c r="R56" s="56"/>
    </row>
    <row r="57" spans="2:19" s="24" customFormat="1" ht="15.75" x14ac:dyDescent="0.25">
      <c r="B57" s="74" t="s">
        <v>119</v>
      </c>
      <c r="C57" s="75" t="s">
        <v>24</v>
      </c>
      <c r="D57" s="76" t="s">
        <v>135</v>
      </c>
      <c r="E57" s="91">
        <f>8*14</f>
        <v>112</v>
      </c>
      <c r="F57" s="92">
        <v>14</v>
      </c>
      <c r="G57" s="79">
        <v>1</v>
      </c>
      <c r="H57" s="79">
        <v>7</v>
      </c>
      <c r="I57" s="79">
        <v>10</v>
      </c>
      <c r="J57" s="80">
        <f t="shared" si="10"/>
        <v>1.9642857142857142</v>
      </c>
      <c r="K57" s="93" t="s">
        <v>121</v>
      </c>
      <c r="L57" s="83"/>
      <c r="M57" s="83">
        <f t="shared" si="1"/>
        <v>0</v>
      </c>
      <c r="N57" s="53"/>
      <c r="O57" s="84" t="s">
        <v>136</v>
      </c>
      <c r="P57" s="85">
        <f t="shared" si="9"/>
        <v>220</v>
      </c>
      <c r="Q57" s="86"/>
      <c r="R57" s="56"/>
    </row>
    <row r="58" spans="2:19" s="103" customFormat="1" ht="15.75" x14ac:dyDescent="0.25">
      <c r="B58" s="94" t="s">
        <v>119</v>
      </c>
      <c r="C58" s="95" t="s">
        <v>24</v>
      </c>
      <c r="D58" s="96" t="s">
        <v>137</v>
      </c>
      <c r="E58" s="97">
        <v>120</v>
      </c>
      <c r="F58" s="98">
        <v>10</v>
      </c>
      <c r="G58" s="79">
        <v>1</v>
      </c>
      <c r="H58" s="87">
        <v>4</v>
      </c>
      <c r="I58" s="88">
        <v>13</v>
      </c>
      <c r="J58" s="99">
        <f t="shared" si="10"/>
        <v>1.4416666666666667</v>
      </c>
      <c r="K58" s="100" t="s">
        <v>121</v>
      </c>
      <c r="L58" s="82"/>
      <c r="M58" s="83">
        <f t="shared" si="1"/>
        <v>0</v>
      </c>
      <c r="N58" s="53"/>
      <c r="O58" s="101" t="s">
        <v>138</v>
      </c>
      <c r="P58" s="102">
        <f t="shared" si="9"/>
        <v>173</v>
      </c>
      <c r="Q58" s="86"/>
      <c r="R58" s="56"/>
      <c r="S58" s="24"/>
    </row>
    <row r="59" spans="2:19" s="24" customFormat="1" ht="15.75" x14ac:dyDescent="0.25">
      <c r="B59" s="74" t="s">
        <v>119</v>
      </c>
      <c r="C59" s="75" t="s">
        <v>24</v>
      </c>
      <c r="D59" s="76" t="s">
        <v>139</v>
      </c>
      <c r="E59" s="77">
        <v>250</v>
      </c>
      <c r="F59" s="78">
        <v>25</v>
      </c>
      <c r="G59" s="79">
        <v>2</v>
      </c>
      <c r="H59" s="87">
        <v>1</v>
      </c>
      <c r="I59" s="88">
        <v>7</v>
      </c>
      <c r="J59" s="80">
        <f t="shared" si="10"/>
        <v>2.1280000000000001</v>
      </c>
      <c r="K59" s="81" t="s">
        <v>121</v>
      </c>
      <c r="L59" s="82"/>
      <c r="M59" s="83">
        <f t="shared" si="1"/>
        <v>0</v>
      </c>
      <c r="N59" s="53"/>
      <c r="O59" s="84" t="s">
        <v>140</v>
      </c>
      <c r="P59" s="85">
        <f t="shared" si="9"/>
        <v>532</v>
      </c>
      <c r="Q59" s="86"/>
      <c r="R59" s="56"/>
    </row>
    <row r="60" spans="2:19" s="24" customFormat="1" ht="15.75" x14ac:dyDescent="0.25">
      <c r="B60" s="74" t="s">
        <v>119</v>
      </c>
      <c r="C60" s="75" t="s">
        <v>24</v>
      </c>
      <c r="D60" s="76" t="s">
        <v>141</v>
      </c>
      <c r="E60" s="77">
        <v>250</v>
      </c>
      <c r="F60" s="78">
        <v>21</v>
      </c>
      <c r="G60" s="79">
        <v>1</v>
      </c>
      <c r="H60" s="87">
        <v>9</v>
      </c>
      <c r="I60" s="88">
        <v>9</v>
      </c>
      <c r="J60" s="80">
        <f t="shared" si="10"/>
        <v>1.792</v>
      </c>
      <c r="K60" s="81" t="s">
        <v>121</v>
      </c>
      <c r="L60" s="82"/>
      <c r="M60" s="83">
        <f t="shared" si="1"/>
        <v>0</v>
      </c>
      <c r="N60" s="53"/>
      <c r="O60" s="84" t="s">
        <v>142</v>
      </c>
      <c r="P60" s="85">
        <f t="shared" si="9"/>
        <v>448</v>
      </c>
      <c r="Q60" s="86"/>
      <c r="R60" s="56"/>
    </row>
    <row r="61" spans="2:19" s="24" customFormat="1" ht="15.75" x14ac:dyDescent="0.25">
      <c r="B61" s="74" t="s">
        <v>119</v>
      </c>
      <c r="C61" s="75" t="s">
        <v>24</v>
      </c>
      <c r="D61" s="76" t="s">
        <v>143</v>
      </c>
      <c r="E61" s="77">
        <v>660</v>
      </c>
      <c r="F61" s="78">
        <v>55</v>
      </c>
      <c r="G61" s="79">
        <v>3</v>
      </c>
      <c r="H61" s="87">
        <v>1</v>
      </c>
      <c r="I61" s="88">
        <v>43</v>
      </c>
      <c r="J61" s="80">
        <f>G61+H61*F61/E61+I61/E61</f>
        <v>3.1484848484848484</v>
      </c>
      <c r="K61" s="81" t="s">
        <v>121</v>
      </c>
      <c r="L61" s="82"/>
      <c r="M61" s="83">
        <f t="shared" si="1"/>
        <v>0</v>
      </c>
      <c r="N61" s="53"/>
      <c r="O61" s="84" t="s">
        <v>144</v>
      </c>
      <c r="P61" s="85">
        <f>I61+H61*F61+G61*E61</f>
        <v>2078</v>
      </c>
      <c r="Q61" s="86"/>
      <c r="R61" s="56"/>
    </row>
    <row r="62" spans="2:19" s="24" customFormat="1" ht="15.75" x14ac:dyDescent="0.25">
      <c r="B62" s="74" t="s">
        <v>119</v>
      </c>
      <c r="C62" s="75" t="s">
        <v>24</v>
      </c>
      <c r="D62" s="76" t="s">
        <v>145</v>
      </c>
      <c r="E62" s="77">
        <v>40</v>
      </c>
      <c r="F62" s="89"/>
      <c r="G62" s="79">
        <v>1</v>
      </c>
      <c r="H62" s="104"/>
      <c r="I62" s="88">
        <v>24</v>
      </c>
      <c r="J62" s="80">
        <f>G62+I62/E62</f>
        <v>1.6</v>
      </c>
      <c r="K62" s="81" t="s">
        <v>121</v>
      </c>
      <c r="L62" s="82"/>
      <c r="M62" s="83">
        <f t="shared" si="1"/>
        <v>0</v>
      </c>
      <c r="N62" s="53"/>
      <c r="O62" s="84" t="s">
        <v>146</v>
      </c>
      <c r="P62" s="85">
        <f>I62+G62*E62</f>
        <v>64</v>
      </c>
      <c r="Q62" s="86"/>
      <c r="R62" s="56"/>
    </row>
    <row r="63" spans="2:19" s="24" customFormat="1" ht="16.5" thickBot="1" x14ac:dyDescent="0.3">
      <c r="B63" s="74" t="s">
        <v>119</v>
      </c>
      <c r="C63" s="75" t="s">
        <v>24</v>
      </c>
      <c r="D63" s="76" t="s">
        <v>147</v>
      </c>
      <c r="E63" s="77">
        <v>5</v>
      </c>
      <c r="F63" s="89"/>
      <c r="G63" s="79">
        <v>17</v>
      </c>
      <c r="H63" s="87">
        <v>1</v>
      </c>
      <c r="I63" s="105"/>
      <c r="J63" s="80">
        <f>G63+H63/E63</f>
        <v>17.2</v>
      </c>
      <c r="K63" s="81" t="s">
        <v>121</v>
      </c>
      <c r="L63" s="82"/>
      <c r="M63" s="83">
        <f t="shared" si="1"/>
        <v>0</v>
      </c>
      <c r="N63" s="53"/>
      <c r="O63" s="84" t="s">
        <v>148</v>
      </c>
      <c r="P63" s="85">
        <f>(H63+G63*E63)*2.5</f>
        <v>215</v>
      </c>
      <c r="Q63" s="86"/>
      <c r="R63" s="56"/>
    </row>
    <row r="64" spans="2:19" s="24" customFormat="1" ht="15.75" x14ac:dyDescent="0.25">
      <c r="B64" s="106" t="s">
        <v>119</v>
      </c>
      <c r="C64" s="107" t="s">
        <v>24</v>
      </c>
      <c r="D64" s="108" t="s">
        <v>149</v>
      </c>
      <c r="E64" s="109">
        <v>144</v>
      </c>
      <c r="F64" s="110">
        <v>24</v>
      </c>
      <c r="G64" s="79">
        <v>0</v>
      </c>
      <c r="H64" s="87">
        <v>0</v>
      </c>
      <c r="I64" s="88">
        <v>0</v>
      </c>
      <c r="J64" s="111">
        <f t="shared" ref="J64:J77" si="11">G64+H64*F64/E64+I64/E64</f>
        <v>0</v>
      </c>
      <c r="K64" s="112" t="s">
        <v>121</v>
      </c>
      <c r="L64" s="82"/>
      <c r="M64" s="83">
        <f t="shared" si="1"/>
        <v>0</v>
      </c>
      <c r="N64" s="53"/>
      <c r="O64" s="84" t="s">
        <v>150</v>
      </c>
      <c r="P64" s="85">
        <f t="shared" si="9"/>
        <v>0</v>
      </c>
      <c r="Q64" s="86"/>
      <c r="R64" s="56"/>
    </row>
    <row r="65" spans="2:18" s="24" customFormat="1" ht="15.75" x14ac:dyDescent="0.25">
      <c r="B65" s="74" t="s">
        <v>119</v>
      </c>
      <c r="C65" s="75" t="s">
        <v>24</v>
      </c>
      <c r="D65" s="76" t="s">
        <v>151</v>
      </c>
      <c r="E65" s="77">
        <v>120</v>
      </c>
      <c r="F65" s="78">
        <v>20</v>
      </c>
      <c r="G65" s="79">
        <v>0</v>
      </c>
      <c r="H65" s="87">
        <v>0</v>
      </c>
      <c r="I65" s="88">
        <v>0</v>
      </c>
      <c r="J65" s="80">
        <f t="shared" si="11"/>
        <v>0</v>
      </c>
      <c r="K65" s="81" t="s">
        <v>121</v>
      </c>
      <c r="L65" s="82"/>
      <c r="M65" s="83">
        <f t="shared" si="1"/>
        <v>0</v>
      </c>
      <c r="N65" s="53"/>
      <c r="O65" s="84" t="s">
        <v>152</v>
      </c>
      <c r="P65" s="85">
        <f>I65+H65*F65+G65*E65</f>
        <v>0</v>
      </c>
      <c r="Q65" s="86"/>
      <c r="R65" s="56"/>
    </row>
    <row r="66" spans="2:18" s="24" customFormat="1" ht="15.75" x14ac:dyDescent="0.25">
      <c r="B66" s="74" t="s">
        <v>119</v>
      </c>
      <c r="C66" s="75" t="s">
        <v>24</v>
      </c>
      <c r="D66" s="76" t="s">
        <v>153</v>
      </c>
      <c r="E66" s="113"/>
      <c r="F66" s="78">
        <v>12</v>
      </c>
      <c r="G66" s="114"/>
      <c r="H66" s="87">
        <v>0</v>
      </c>
      <c r="I66" s="88">
        <v>0</v>
      </c>
      <c r="J66" s="80">
        <f>H66+I66/F66</f>
        <v>0</v>
      </c>
      <c r="K66" s="81" t="s">
        <v>15</v>
      </c>
      <c r="L66" s="82"/>
      <c r="M66" s="83">
        <f t="shared" si="1"/>
        <v>0</v>
      </c>
      <c r="N66" s="53"/>
      <c r="O66" s="84" t="s">
        <v>154</v>
      </c>
      <c r="P66" s="85">
        <f>I66+H66*F66</f>
        <v>0</v>
      </c>
      <c r="Q66" s="86"/>
      <c r="R66" s="56"/>
    </row>
    <row r="67" spans="2:18" s="24" customFormat="1" ht="15.75" x14ac:dyDescent="0.25">
      <c r="B67" s="74" t="s">
        <v>119</v>
      </c>
      <c r="C67" s="75" t="s">
        <v>24</v>
      </c>
      <c r="D67" s="76" t="s">
        <v>155</v>
      </c>
      <c r="E67" s="113"/>
      <c r="F67" s="78">
        <v>6</v>
      </c>
      <c r="G67" s="114"/>
      <c r="H67" s="87">
        <v>0</v>
      </c>
      <c r="I67" s="88">
        <v>0</v>
      </c>
      <c r="J67" s="80">
        <f>H67+I67/F67</f>
        <v>0</v>
      </c>
      <c r="K67" s="81" t="s">
        <v>15</v>
      </c>
      <c r="L67" s="82"/>
      <c r="M67" s="83">
        <f t="shared" si="1"/>
        <v>0</v>
      </c>
      <c r="N67" s="53"/>
      <c r="O67" s="84" t="s">
        <v>156</v>
      </c>
      <c r="P67" s="85">
        <f>I67+H67*F67</f>
        <v>0</v>
      </c>
      <c r="Q67" s="86"/>
      <c r="R67" s="56"/>
    </row>
    <row r="68" spans="2:18" s="24" customFormat="1" ht="15.75" x14ac:dyDescent="0.25">
      <c r="B68" s="74" t="s">
        <v>119</v>
      </c>
      <c r="C68" s="75" t="s">
        <v>24</v>
      </c>
      <c r="D68" s="76" t="s">
        <v>157</v>
      </c>
      <c r="E68" s="77">
        <v>90</v>
      </c>
      <c r="F68" s="78">
        <v>15</v>
      </c>
      <c r="G68" s="79">
        <v>0</v>
      </c>
      <c r="H68" s="87">
        <v>0</v>
      </c>
      <c r="I68" s="88">
        <v>0</v>
      </c>
      <c r="J68" s="80">
        <f t="shared" si="11"/>
        <v>0</v>
      </c>
      <c r="K68" s="81" t="s">
        <v>121</v>
      </c>
      <c r="L68" s="82"/>
      <c r="M68" s="83">
        <f t="shared" si="1"/>
        <v>0</v>
      </c>
      <c r="N68" s="53"/>
      <c r="O68" s="84" t="s">
        <v>158</v>
      </c>
      <c r="P68" s="85">
        <f t="shared" si="9"/>
        <v>0</v>
      </c>
      <c r="Q68" s="86"/>
      <c r="R68" s="56"/>
    </row>
    <row r="69" spans="2:18" s="24" customFormat="1" ht="15.75" x14ac:dyDescent="0.25">
      <c r="B69" s="74" t="s">
        <v>119</v>
      </c>
      <c r="C69" s="75" t="s">
        <v>24</v>
      </c>
      <c r="D69" s="76" t="s">
        <v>159</v>
      </c>
      <c r="E69" s="113"/>
      <c r="F69" s="78">
        <v>6</v>
      </c>
      <c r="G69" s="114"/>
      <c r="H69" s="87">
        <v>0</v>
      </c>
      <c r="I69" s="88">
        <v>0</v>
      </c>
      <c r="J69" s="80">
        <f>H69+I69/F69</f>
        <v>0</v>
      </c>
      <c r="K69" s="81" t="s">
        <v>15</v>
      </c>
      <c r="L69" s="82"/>
      <c r="M69" s="83">
        <f t="shared" si="1"/>
        <v>0</v>
      </c>
      <c r="N69" s="53"/>
      <c r="O69" s="84" t="s">
        <v>160</v>
      </c>
      <c r="P69" s="85">
        <f>I69+H69*F69</f>
        <v>0</v>
      </c>
      <c r="Q69" s="86"/>
      <c r="R69" s="56"/>
    </row>
    <row r="70" spans="2:18" s="24" customFormat="1" ht="15.75" x14ac:dyDescent="0.25">
      <c r="B70" s="74" t="s">
        <v>119</v>
      </c>
      <c r="C70" s="75" t="s">
        <v>24</v>
      </c>
      <c r="D70" s="76" t="s">
        <v>161</v>
      </c>
      <c r="E70" s="77">
        <v>72</v>
      </c>
      <c r="F70" s="78">
        <v>12</v>
      </c>
      <c r="G70" s="114"/>
      <c r="H70" s="87">
        <v>0</v>
      </c>
      <c r="I70" s="88">
        <v>0</v>
      </c>
      <c r="J70" s="80">
        <f t="shared" si="11"/>
        <v>0</v>
      </c>
      <c r="K70" s="81" t="s">
        <v>121</v>
      </c>
      <c r="L70" s="82"/>
      <c r="M70" s="83">
        <f t="shared" si="1"/>
        <v>0</v>
      </c>
      <c r="N70" s="53"/>
      <c r="O70" s="84" t="s">
        <v>162</v>
      </c>
      <c r="P70" s="85">
        <f t="shared" si="9"/>
        <v>0</v>
      </c>
      <c r="Q70" s="86"/>
      <c r="R70" s="56"/>
    </row>
    <row r="71" spans="2:18" s="24" customFormat="1" ht="15.75" x14ac:dyDescent="0.25">
      <c r="B71" s="74" t="s">
        <v>119</v>
      </c>
      <c r="C71" s="75" t="s">
        <v>24</v>
      </c>
      <c r="D71" s="76" t="s">
        <v>163</v>
      </c>
      <c r="E71" s="77">
        <v>108</v>
      </c>
      <c r="F71" s="78">
        <v>18</v>
      </c>
      <c r="G71" s="79">
        <v>0</v>
      </c>
      <c r="H71" s="87">
        <v>0</v>
      </c>
      <c r="I71" s="88">
        <v>0</v>
      </c>
      <c r="J71" s="80">
        <f t="shared" si="11"/>
        <v>0</v>
      </c>
      <c r="K71" s="81" t="s">
        <v>121</v>
      </c>
      <c r="L71" s="82"/>
      <c r="M71" s="83">
        <f t="shared" si="1"/>
        <v>0</v>
      </c>
      <c r="N71" s="53"/>
      <c r="O71" s="84" t="s">
        <v>164</v>
      </c>
      <c r="P71" s="85">
        <f t="shared" si="9"/>
        <v>0</v>
      </c>
      <c r="Q71" s="86"/>
      <c r="R71" s="56"/>
    </row>
    <row r="72" spans="2:18" s="24" customFormat="1" ht="15.75" x14ac:dyDescent="0.25">
      <c r="B72" s="74" t="s">
        <v>119</v>
      </c>
      <c r="C72" s="75" t="s">
        <v>24</v>
      </c>
      <c r="D72" s="76" t="s">
        <v>165</v>
      </c>
      <c r="E72" s="115">
        <v>96</v>
      </c>
      <c r="F72" s="78">
        <v>16</v>
      </c>
      <c r="G72" s="79">
        <v>0</v>
      </c>
      <c r="H72" s="87">
        <v>0</v>
      </c>
      <c r="I72" s="88">
        <v>0</v>
      </c>
      <c r="J72" s="80">
        <f t="shared" si="11"/>
        <v>0</v>
      </c>
      <c r="K72" s="81" t="s">
        <v>121</v>
      </c>
      <c r="L72" s="82"/>
      <c r="M72" s="83">
        <f t="shared" si="1"/>
        <v>0</v>
      </c>
      <c r="N72" s="53"/>
      <c r="O72" s="84" t="s">
        <v>166</v>
      </c>
      <c r="P72" s="85">
        <f t="shared" si="9"/>
        <v>0</v>
      </c>
      <c r="Q72" s="86"/>
      <c r="R72" s="56"/>
    </row>
    <row r="73" spans="2:18" s="24" customFormat="1" ht="15.75" x14ac:dyDescent="0.25">
      <c r="B73" s="74" t="s">
        <v>119</v>
      </c>
      <c r="C73" s="75" t="s">
        <v>24</v>
      </c>
      <c r="D73" s="76" t="s">
        <v>167</v>
      </c>
      <c r="E73" s="116"/>
      <c r="F73" s="78">
        <v>10</v>
      </c>
      <c r="G73" s="114"/>
      <c r="H73" s="87">
        <v>0</v>
      </c>
      <c r="I73" s="88">
        <v>0</v>
      </c>
      <c r="J73" s="80">
        <f>H73+I73/F73</f>
        <v>0</v>
      </c>
      <c r="K73" s="81" t="s">
        <v>15</v>
      </c>
      <c r="L73" s="82"/>
      <c r="M73" s="83">
        <f t="shared" si="1"/>
        <v>0</v>
      </c>
      <c r="N73" s="53"/>
      <c r="O73" s="84" t="s">
        <v>168</v>
      </c>
      <c r="P73" s="85">
        <f>I73+H73*F73</f>
        <v>0</v>
      </c>
      <c r="Q73" s="86"/>
      <c r="R73" s="56"/>
    </row>
    <row r="74" spans="2:18" s="24" customFormat="1" ht="15.75" x14ac:dyDescent="0.25">
      <c r="B74" s="74" t="s">
        <v>119</v>
      </c>
      <c r="C74" s="75" t="s">
        <v>24</v>
      </c>
      <c r="D74" s="76" t="s">
        <v>169</v>
      </c>
      <c r="E74" s="115">
        <v>90</v>
      </c>
      <c r="F74" s="78">
        <v>15</v>
      </c>
      <c r="G74" s="79">
        <v>0</v>
      </c>
      <c r="H74" s="87">
        <v>0</v>
      </c>
      <c r="I74" s="88">
        <v>0</v>
      </c>
      <c r="J74" s="80">
        <f t="shared" si="11"/>
        <v>0</v>
      </c>
      <c r="K74" s="81" t="s">
        <v>121</v>
      </c>
      <c r="L74" s="82"/>
      <c r="M74" s="83">
        <f t="shared" ref="M74:M139" si="12">J74*L74</f>
        <v>0</v>
      </c>
      <c r="N74" s="53"/>
      <c r="O74" s="84" t="s">
        <v>170</v>
      </c>
      <c r="P74" s="85">
        <f t="shared" si="9"/>
        <v>0</v>
      </c>
      <c r="Q74" s="86"/>
      <c r="R74" s="56"/>
    </row>
    <row r="75" spans="2:18" s="24" customFormat="1" ht="15.75" x14ac:dyDescent="0.25">
      <c r="B75" s="75" t="s">
        <v>119</v>
      </c>
      <c r="C75" s="75" t="s">
        <v>24</v>
      </c>
      <c r="D75" s="76" t="s">
        <v>171</v>
      </c>
      <c r="E75" s="115">
        <v>72</v>
      </c>
      <c r="F75" s="78">
        <v>12</v>
      </c>
      <c r="G75" s="79">
        <v>0</v>
      </c>
      <c r="H75" s="87">
        <v>0</v>
      </c>
      <c r="I75" s="87">
        <v>0</v>
      </c>
      <c r="J75" s="80">
        <f t="shared" si="11"/>
        <v>0</v>
      </c>
      <c r="K75" s="117" t="s">
        <v>121</v>
      </c>
      <c r="L75" s="82"/>
      <c r="M75" s="83">
        <f t="shared" si="12"/>
        <v>0</v>
      </c>
      <c r="N75" s="53"/>
      <c r="O75" s="84" t="s">
        <v>172</v>
      </c>
      <c r="P75" s="85">
        <f>I75+H75*F75+G75*E75</f>
        <v>0</v>
      </c>
      <c r="Q75" s="86"/>
      <c r="R75" s="56"/>
    </row>
    <row r="76" spans="2:18" s="24" customFormat="1" ht="15.75" x14ac:dyDescent="0.25">
      <c r="B76" s="75" t="s">
        <v>119</v>
      </c>
      <c r="C76" s="75" t="s">
        <v>24</v>
      </c>
      <c r="D76" s="76" t="s">
        <v>173</v>
      </c>
      <c r="E76" s="115">
        <v>120</v>
      </c>
      <c r="F76" s="78">
        <v>20</v>
      </c>
      <c r="G76" s="79">
        <v>7</v>
      </c>
      <c r="H76" s="87">
        <v>0</v>
      </c>
      <c r="I76" s="87">
        <v>0</v>
      </c>
      <c r="J76" s="80">
        <f>G76+H76*F76/E76+I76/E76</f>
        <v>7</v>
      </c>
      <c r="K76" s="117" t="s">
        <v>121</v>
      </c>
      <c r="L76" s="82"/>
      <c r="M76" s="83">
        <f t="shared" si="12"/>
        <v>0</v>
      </c>
      <c r="N76" s="53"/>
      <c r="O76" s="84" t="s">
        <v>174</v>
      </c>
      <c r="P76" s="85">
        <f t="shared" si="9"/>
        <v>840</v>
      </c>
      <c r="Q76" s="86"/>
      <c r="R76" s="56"/>
    </row>
    <row r="77" spans="2:18" s="24" customFormat="1" ht="15.75" x14ac:dyDescent="0.25">
      <c r="B77" s="75" t="s">
        <v>119</v>
      </c>
      <c r="C77" s="75" t="s">
        <v>24</v>
      </c>
      <c r="D77" s="76" t="s">
        <v>175</v>
      </c>
      <c r="E77" s="115">
        <v>72</v>
      </c>
      <c r="F77" s="78">
        <v>12</v>
      </c>
      <c r="G77" s="79">
        <v>4</v>
      </c>
      <c r="H77" s="87">
        <v>13</v>
      </c>
      <c r="I77" s="88">
        <v>3</v>
      </c>
      <c r="J77" s="80">
        <f t="shared" si="11"/>
        <v>6.208333333333333</v>
      </c>
      <c r="K77" s="117" t="s">
        <v>121</v>
      </c>
      <c r="L77" s="82"/>
      <c r="M77" s="83">
        <f t="shared" si="12"/>
        <v>0</v>
      </c>
      <c r="N77" s="53"/>
      <c r="O77" s="84" t="s">
        <v>176</v>
      </c>
      <c r="P77" s="85">
        <f t="shared" si="9"/>
        <v>447</v>
      </c>
      <c r="Q77" s="86"/>
      <c r="R77" s="56"/>
    </row>
    <row r="78" spans="2:18" s="24" customFormat="1" ht="15.75" x14ac:dyDescent="0.25">
      <c r="B78" s="75" t="s">
        <v>119</v>
      </c>
      <c r="C78" s="75" t="s">
        <v>24</v>
      </c>
      <c r="D78" s="76" t="s">
        <v>177</v>
      </c>
      <c r="E78" s="115">
        <v>126</v>
      </c>
      <c r="F78" s="78">
        <v>21</v>
      </c>
      <c r="G78" s="79">
        <v>0</v>
      </c>
      <c r="H78" s="87">
        <v>8</v>
      </c>
      <c r="I78" s="88">
        <v>21</v>
      </c>
      <c r="J78" s="80">
        <f>G78+H78*F78/E78+I78/E78</f>
        <v>1.5</v>
      </c>
      <c r="K78" s="117" t="s">
        <v>121</v>
      </c>
      <c r="L78" s="82"/>
      <c r="M78" s="83">
        <f t="shared" si="12"/>
        <v>0</v>
      </c>
      <c r="N78" s="53"/>
      <c r="O78" s="84" t="s">
        <v>178</v>
      </c>
      <c r="P78" s="85">
        <f t="shared" si="9"/>
        <v>189</v>
      </c>
      <c r="Q78" s="86"/>
      <c r="R78" s="56"/>
    </row>
    <row r="79" spans="2:18" s="24" customFormat="1" ht="15.75" x14ac:dyDescent="0.25">
      <c r="B79" s="75" t="s">
        <v>119</v>
      </c>
      <c r="C79" s="75" t="s">
        <v>24</v>
      </c>
      <c r="D79" s="76" t="s">
        <v>179</v>
      </c>
      <c r="E79" s="115">
        <v>72</v>
      </c>
      <c r="F79" s="78">
        <v>12</v>
      </c>
      <c r="G79" s="79">
        <v>1</v>
      </c>
      <c r="H79" s="87">
        <v>6</v>
      </c>
      <c r="I79" s="88">
        <v>4</v>
      </c>
      <c r="J79" s="80">
        <f>G79+H79*F79/E79+I79/E79</f>
        <v>2.0555555555555554</v>
      </c>
      <c r="K79" s="117" t="s">
        <v>121</v>
      </c>
      <c r="L79" s="82"/>
      <c r="M79" s="83">
        <f t="shared" si="12"/>
        <v>0</v>
      </c>
      <c r="N79" s="53"/>
      <c r="O79" s="84" t="s">
        <v>180</v>
      </c>
      <c r="P79" s="85">
        <f t="shared" si="9"/>
        <v>148</v>
      </c>
      <c r="Q79" s="86"/>
      <c r="R79" s="56"/>
    </row>
    <row r="80" spans="2:18" s="24" customFormat="1" ht="15.75" x14ac:dyDescent="0.25">
      <c r="B80" s="75" t="s">
        <v>119</v>
      </c>
      <c r="C80" s="75" t="s">
        <v>24</v>
      </c>
      <c r="D80" s="76" t="s">
        <v>181</v>
      </c>
      <c r="E80" s="115">
        <v>72</v>
      </c>
      <c r="F80" s="78">
        <v>12</v>
      </c>
      <c r="G80" s="79">
        <v>0</v>
      </c>
      <c r="H80" s="87">
        <v>20</v>
      </c>
      <c r="I80" s="87">
        <v>3</v>
      </c>
      <c r="J80" s="80">
        <f>G80+H80*F80/E80+I80/E80</f>
        <v>3.375</v>
      </c>
      <c r="K80" s="81" t="s">
        <v>18</v>
      </c>
      <c r="L80" s="82"/>
      <c r="M80" s="83">
        <f t="shared" si="12"/>
        <v>0</v>
      </c>
      <c r="N80" s="53"/>
      <c r="O80" s="84" t="s">
        <v>182</v>
      </c>
      <c r="P80" s="85">
        <f>I80+H80*F80+G80*E80</f>
        <v>243</v>
      </c>
      <c r="Q80" s="86"/>
      <c r="R80" s="56"/>
    </row>
    <row r="81" spans="2:18" s="24" customFormat="1" ht="15.75" x14ac:dyDescent="0.25">
      <c r="B81" s="118" t="s">
        <v>119</v>
      </c>
      <c r="C81" s="75" t="s">
        <v>24</v>
      </c>
      <c r="D81" s="76" t="s">
        <v>183</v>
      </c>
      <c r="E81" s="115">
        <v>48</v>
      </c>
      <c r="F81" s="78">
        <v>8</v>
      </c>
      <c r="G81" s="79">
        <v>0</v>
      </c>
      <c r="H81" s="87">
        <v>0</v>
      </c>
      <c r="I81" s="87">
        <v>0</v>
      </c>
      <c r="J81" s="80">
        <f>G81+H81*F81/E81+I81/E81</f>
        <v>0</v>
      </c>
      <c r="K81" s="81" t="s">
        <v>18</v>
      </c>
      <c r="L81" s="82"/>
      <c r="M81" s="83">
        <f t="shared" si="12"/>
        <v>0</v>
      </c>
      <c r="N81" s="53"/>
      <c r="O81" s="84" t="s">
        <v>184</v>
      </c>
      <c r="P81" s="85">
        <f>I81+H81*F81+G81*E81</f>
        <v>0</v>
      </c>
      <c r="Q81" s="86"/>
      <c r="R81" s="56"/>
    </row>
    <row r="82" spans="2:18" s="24" customFormat="1" ht="15.75" x14ac:dyDescent="0.25">
      <c r="B82" s="74" t="s">
        <v>119</v>
      </c>
      <c r="C82" s="75" t="s">
        <v>24</v>
      </c>
      <c r="D82" s="76" t="s">
        <v>185</v>
      </c>
      <c r="E82" s="115">
        <v>240</v>
      </c>
      <c r="F82" s="89"/>
      <c r="G82" s="79">
        <v>0</v>
      </c>
      <c r="H82" s="104"/>
      <c r="I82" s="88">
        <v>0</v>
      </c>
      <c r="J82" s="80">
        <f>G82+I82/E82</f>
        <v>0</v>
      </c>
      <c r="K82" s="81" t="s">
        <v>121</v>
      </c>
      <c r="L82" s="82"/>
      <c r="M82" s="83">
        <f t="shared" si="12"/>
        <v>0</v>
      </c>
      <c r="N82" s="53"/>
      <c r="O82" s="84" t="s">
        <v>186</v>
      </c>
      <c r="P82" s="85">
        <f>I82+G82*E82</f>
        <v>0</v>
      </c>
      <c r="Q82" s="86"/>
      <c r="R82" s="56"/>
    </row>
    <row r="83" spans="2:18" s="24" customFormat="1" ht="15.75" x14ac:dyDescent="0.25">
      <c r="B83" s="74" t="s">
        <v>119</v>
      </c>
      <c r="C83" s="75" t="s">
        <v>24</v>
      </c>
      <c r="D83" s="76" t="s">
        <v>187</v>
      </c>
      <c r="E83" s="119">
        <v>373</v>
      </c>
      <c r="F83" s="89"/>
      <c r="G83" s="79">
        <v>4</v>
      </c>
      <c r="H83" s="104"/>
      <c r="I83" s="88">
        <v>109</v>
      </c>
      <c r="J83" s="80">
        <f>G83+I83/E83</f>
        <v>4.2922252010723856</v>
      </c>
      <c r="K83" s="81" t="s">
        <v>121</v>
      </c>
      <c r="L83" s="82"/>
      <c r="M83" s="83">
        <f t="shared" si="12"/>
        <v>0</v>
      </c>
      <c r="N83" s="53"/>
      <c r="O83" s="84" t="s">
        <v>188</v>
      </c>
      <c r="P83" s="85">
        <f>I83+G83*E83</f>
        <v>1601</v>
      </c>
      <c r="Q83" s="86"/>
      <c r="R83" s="56"/>
    </row>
    <row r="84" spans="2:18" s="24" customFormat="1" ht="15.75" x14ac:dyDescent="0.25">
      <c r="B84" s="74" t="s">
        <v>119</v>
      </c>
      <c r="C84" s="75" t="s">
        <v>24</v>
      </c>
      <c r="D84" s="76" t="s">
        <v>189</v>
      </c>
      <c r="E84" s="77">
        <v>112</v>
      </c>
      <c r="F84" s="78">
        <v>14</v>
      </c>
      <c r="G84" s="79">
        <v>0</v>
      </c>
      <c r="H84" s="87">
        <v>0</v>
      </c>
      <c r="I84" s="88">
        <v>0</v>
      </c>
      <c r="J84" s="80">
        <f>G84+H84*F84/E84+I84/E84</f>
        <v>0</v>
      </c>
      <c r="K84" s="81" t="s">
        <v>121</v>
      </c>
      <c r="L84" s="82"/>
      <c r="M84" s="83">
        <f t="shared" si="12"/>
        <v>0</v>
      </c>
      <c r="N84" s="53"/>
      <c r="O84" s="84" t="s">
        <v>190</v>
      </c>
      <c r="P84" s="85">
        <f>I84+H84*F84+G84*E84</f>
        <v>0</v>
      </c>
      <c r="Q84" s="86"/>
      <c r="R84" s="56"/>
    </row>
    <row r="85" spans="2:18" s="24" customFormat="1" ht="15.75" x14ac:dyDescent="0.25">
      <c r="B85" s="74" t="s">
        <v>119</v>
      </c>
      <c r="C85" s="75" t="s">
        <v>24</v>
      </c>
      <c r="D85" s="76" t="s">
        <v>191</v>
      </c>
      <c r="E85" s="77">
        <v>120</v>
      </c>
      <c r="F85" s="78">
        <v>12</v>
      </c>
      <c r="G85" s="79">
        <v>2</v>
      </c>
      <c r="H85" s="87">
        <v>4</v>
      </c>
      <c r="I85" s="88">
        <v>13</v>
      </c>
      <c r="J85" s="80">
        <f>G85+H85*F85/E85+I85/E85</f>
        <v>2.5083333333333333</v>
      </c>
      <c r="K85" s="81" t="s">
        <v>121</v>
      </c>
      <c r="L85" s="82"/>
      <c r="M85" s="83">
        <f t="shared" si="12"/>
        <v>0</v>
      </c>
      <c r="N85" s="53"/>
      <c r="O85" s="84" t="s">
        <v>192</v>
      </c>
      <c r="P85" s="85">
        <f>I85+H85*F85+G85*E85</f>
        <v>301</v>
      </c>
      <c r="Q85" s="86"/>
      <c r="R85" s="56"/>
    </row>
    <row r="86" spans="2:18" s="24" customFormat="1" ht="15.75" x14ac:dyDescent="0.25">
      <c r="B86" s="74" t="s">
        <v>119</v>
      </c>
      <c r="C86" s="75" t="s">
        <v>24</v>
      </c>
      <c r="D86" s="76" t="s">
        <v>193</v>
      </c>
      <c r="E86" s="77">
        <v>204</v>
      </c>
      <c r="F86" s="78">
        <v>34</v>
      </c>
      <c r="G86" s="79">
        <v>2</v>
      </c>
      <c r="H86" s="87">
        <v>3</v>
      </c>
      <c r="I86" s="88">
        <v>21</v>
      </c>
      <c r="J86" s="80">
        <f>G86+H86*F86/E86+I86/E86</f>
        <v>2.6029411764705883</v>
      </c>
      <c r="K86" s="81" t="s">
        <v>121</v>
      </c>
      <c r="L86" s="82"/>
      <c r="M86" s="83">
        <f t="shared" si="12"/>
        <v>0</v>
      </c>
      <c r="N86" s="53"/>
      <c r="O86" s="84" t="s">
        <v>194</v>
      </c>
      <c r="P86" s="85">
        <f>J86*E86</f>
        <v>531</v>
      </c>
      <c r="Q86" s="86"/>
      <c r="R86" s="56"/>
    </row>
    <row r="87" spans="2:18" s="24" customFormat="1" ht="15.75" x14ac:dyDescent="0.25">
      <c r="B87" s="74" t="s">
        <v>119</v>
      </c>
      <c r="C87" s="75" t="s">
        <v>24</v>
      </c>
      <c r="D87" s="76" t="s">
        <v>195</v>
      </c>
      <c r="E87" s="77">
        <v>60</v>
      </c>
      <c r="F87" s="89"/>
      <c r="G87" s="79">
        <v>0</v>
      </c>
      <c r="H87" s="104"/>
      <c r="I87" s="88">
        <v>0</v>
      </c>
      <c r="J87" s="80">
        <f>G87+I87/E87</f>
        <v>0</v>
      </c>
      <c r="K87" s="81" t="s">
        <v>121</v>
      </c>
      <c r="L87" s="82"/>
      <c r="M87" s="83">
        <f t="shared" si="12"/>
        <v>0</v>
      </c>
      <c r="N87" s="53"/>
      <c r="O87" s="84" t="s">
        <v>196</v>
      </c>
      <c r="P87" s="85">
        <f>I87+G87*E87</f>
        <v>0</v>
      </c>
      <c r="Q87" s="86"/>
      <c r="R87" s="56"/>
    </row>
    <row r="88" spans="2:18" s="24" customFormat="1" ht="15.75" x14ac:dyDescent="0.25">
      <c r="B88" s="74" t="s">
        <v>119</v>
      </c>
      <c r="C88" s="75" t="s">
        <v>24</v>
      </c>
      <c r="D88" s="76" t="s">
        <v>197</v>
      </c>
      <c r="E88" s="77">
        <v>75</v>
      </c>
      <c r="F88" s="120">
        <v>25</v>
      </c>
      <c r="G88" s="79">
        <v>0</v>
      </c>
      <c r="H88" s="87">
        <v>0</v>
      </c>
      <c r="I88" s="87">
        <v>0</v>
      </c>
      <c r="J88" s="80">
        <f>G88+H88*F88/E88+I88/E88</f>
        <v>0</v>
      </c>
      <c r="K88" s="81" t="s">
        <v>121</v>
      </c>
      <c r="L88" s="82"/>
      <c r="M88" s="83">
        <f t="shared" si="12"/>
        <v>0</v>
      </c>
      <c r="N88" s="53"/>
      <c r="O88" s="84" t="s">
        <v>198</v>
      </c>
      <c r="P88" s="85">
        <f>I88+H88*F88+G88*E88</f>
        <v>0</v>
      </c>
      <c r="Q88" s="86"/>
      <c r="R88" s="56"/>
    </row>
    <row r="89" spans="2:18" s="24" customFormat="1" ht="15.75" x14ac:dyDescent="0.25">
      <c r="B89" s="74" t="s">
        <v>119</v>
      </c>
      <c r="C89" s="75" t="s">
        <v>24</v>
      </c>
      <c r="D89" s="76" t="s">
        <v>199</v>
      </c>
      <c r="E89" s="77">
        <v>75</v>
      </c>
      <c r="F89" s="120">
        <v>25</v>
      </c>
      <c r="G89" s="79">
        <v>0</v>
      </c>
      <c r="H89" s="87">
        <v>0</v>
      </c>
      <c r="I89" s="87">
        <v>0</v>
      </c>
      <c r="J89" s="80">
        <f>G89+H89*F89/E89+I89/E89</f>
        <v>0</v>
      </c>
      <c r="K89" s="81" t="s">
        <v>121</v>
      </c>
      <c r="L89" s="82"/>
      <c r="M89" s="83">
        <f t="shared" si="12"/>
        <v>0</v>
      </c>
      <c r="N89" s="53"/>
      <c r="O89" s="84" t="s">
        <v>200</v>
      </c>
      <c r="P89" s="85">
        <f>I89+H89*F89+G89*E89</f>
        <v>0</v>
      </c>
      <c r="Q89" s="86"/>
      <c r="R89" s="56"/>
    </row>
    <row r="90" spans="2:18" s="24" customFormat="1" ht="15.75" x14ac:dyDescent="0.25">
      <c r="B90" s="74" t="s">
        <v>119</v>
      </c>
      <c r="C90" s="75" t="s">
        <v>24</v>
      </c>
      <c r="D90" s="76" t="s">
        <v>201</v>
      </c>
      <c r="E90" s="77">
        <v>568</v>
      </c>
      <c r="F90" s="78">
        <v>71</v>
      </c>
      <c r="G90" s="79">
        <v>0</v>
      </c>
      <c r="H90" s="87">
        <v>0</v>
      </c>
      <c r="I90" s="87">
        <v>0</v>
      </c>
      <c r="J90" s="80">
        <f>G90+H90*F90/E90+I90/E90</f>
        <v>0</v>
      </c>
      <c r="K90" s="81" t="s">
        <v>121</v>
      </c>
      <c r="L90" s="82"/>
      <c r="M90" s="83">
        <f t="shared" si="12"/>
        <v>0</v>
      </c>
      <c r="N90" s="53"/>
      <c r="O90" s="84" t="s">
        <v>202</v>
      </c>
      <c r="P90" s="85">
        <f>I90+H90*F90+G90*E90</f>
        <v>0</v>
      </c>
      <c r="Q90" s="86"/>
      <c r="R90" s="56"/>
    </row>
    <row r="91" spans="2:18" s="24" customFormat="1" ht="15.75" x14ac:dyDescent="0.25">
      <c r="B91" s="74" t="s">
        <v>119</v>
      </c>
      <c r="C91" s="75" t="s">
        <v>24</v>
      </c>
      <c r="D91" s="76" t="s">
        <v>203</v>
      </c>
      <c r="E91" s="77">
        <v>792</v>
      </c>
      <c r="F91" s="78">
        <v>66</v>
      </c>
      <c r="G91" s="79">
        <v>0</v>
      </c>
      <c r="H91" s="87">
        <v>0</v>
      </c>
      <c r="I91" s="87">
        <v>0</v>
      </c>
      <c r="J91" s="80">
        <f t="shared" ref="J91:J93" si="13">G91+H91*F91/E91+I91/E91</f>
        <v>0</v>
      </c>
      <c r="K91" s="81" t="s">
        <v>121</v>
      </c>
      <c r="L91" s="82"/>
      <c r="M91" s="83">
        <f t="shared" si="12"/>
        <v>0</v>
      </c>
      <c r="N91" s="53"/>
      <c r="O91" s="84" t="s">
        <v>204</v>
      </c>
      <c r="P91" s="85">
        <f t="shared" si="9"/>
        <v>0</v>
      </c>
      <c r="Q91" s="86"/>
      <c r="R91" s="56"/>
    </row>
    <row r="92" spans="2:18" s="24" customFormat="1" ht="15.75" x14ac:dyDescent="0.25">
      <c r="B92" s="74" t="s">
        <v>119</v>
      </c>
      <c r="C92" s="75" t="s">
        <v>24</v>
      </c>
      <c r="D92" s="76" t="s">
        <v>205</v>
      </c>
      <c r="E92" s="77">
        <v>630</v>
      </c>
      <c r="F92" s="78">
        <v>63</v>
      </c>
      <c r="G92" s="79">
        <v>1</v>
      </c>
      <c r="H92" s="87">
        <v>3</v>
      </c>
      <c r="I92" s="88">
        <v>42</v>
      </c>
      <c r="J92" s="80">
        <f>G92+H92*F92/E92+I92/E92</f>
        <v>1.3666666666666667</v>
      </c>
      <c r="K92" s="81" t="s">
        <v>121</v>
      </c>
      <c r="L92" s="82"/>
      <c r="M92" s="83">
        <f t="shared" si="12"/>
        <v>0</v>
      </c>
      <c r="N92" s="53"/>
      <c r="O92" s="84">
        <v>110605</v>
      </c>
      <c r="P92" s="85">
        <f>I92+H92*F92+G92*E92</f>
        <v>861</v>
      </c>
      <c r="Q92" s="86"/>
      <c r="R92" s="56"/>
    </row>
    <row r="93" spans="2:18" s="24" customFormat="1" ht="15.75" x14ac:dyDescent="0.25">
      <c r="B93" s="74" t="s">
        <v>119</v>
      </c>
      <c r="C93" s="75" t="s">
        <v>24</v>
      </c>
      <c r="D93" s="76" t="s">
        <v>206</v>
      </c>
      <c r="E93" s="77">
        <v>120</v>
      </c>
      <c r="F93" s="78">
        <v>12</v>
      </c>
      <c r="G93" s="79">
        <v>0</v>
      </c>
      <c r="H93" s="79">
        <v>0</v>
      </c>
      <c r="I93" s="79">
        <v>0</v>
      </c>
      <c r="J93" s="80">
        <f t="shared" si="13"/>
        <v>0</v>
      </c>
      <c r="K93" s="81" t="s">
        <v>121</v>
      </c>
      <c r="L93" s="82"/>
      <c r="M93" s="83">
        <f t="shared" si="12"/>
        <v>0</v>
      </c>
      <c r="N93" s="53"/>
      <c r="O93" s="84" t="s">
        <v>207</v>
      </c>
      <c r="P93" s="85">
        <f>I93+H93*F93+G93*E93</f>
        <v>0</v>
      </c>
      <c r="Q93" s="86"/>
      <c r="R93" s="56"/>
    </row>
    <row r="94" spans="2:18" s="24" customFormat="1" ht="15.75" x14ac:dyDescent="0.25">
      <c r="B94" s="74" t="s">
        <v>119</v>
      </c>
      <c r="C94" s="75" t="s">
        <v>24</v>
      </c>
      <c r="D94" s="76" t="s">
        <v>208</v>
      </c>
      <c r="E94" s="77">
        <v>95</v>
      </c>
      <c r="F94" s="78">
        <v>12</v>
      </c>
      <c r="G94" s="79">
        <v>0</v>
      </c>
      <c r="H94" s="79">
        <v>0</v>
      </c>
      <c r="I94" s="79">
        <v>0</v>
      </c>
      <c r="J94" s="80">
        <f>G94+H94*F94/E94+I94/E94</f>
        <v>0</v>
      </c>
      <c r="K94" s="81" t="s">
        <v>121</v>
      </c>
      <c r="L94" s="82"/>
      <c r="M94" s="83">
        <f t="shared" si="12"/>
        <v>0</v>
      </c>
      <c r="N94" s="53"/>
      <c r="O94" s="84" t="s">
        <v>209</v>
      </c>
      <c r="P94" s="121">
        <f>I94+H94*F94+G94*E94</f>
        <v>0</v>
      </c>
      <c r="Q94" s="86"/>
      <c r="R94" s="56"/>
    </row>
    <row r="95" spans="2:18" s="24" customFormat="1" ht="15.75" x14ac:dyDescent="0.25">
      <c r="B95" s="74" t="s">
        <v>119</v>
      </c>
      <c r="C95" s="75" t="s">
        <v>24</v>
      </c>
      <c r="D95" s="76" t="s">
        <v>210</v>
      </c>
      <c r="E95" s="77">
        <v>112</v>
      </c>
      <c r="F95" s="89"/>
      <c r="G95" s="79">
        <v>1</v>
      </c>
      <c r="H95" s="104"/>
      <c r="I95" s="88">
        <v>0</v>
      </c>
      <c r="J95" s="80">
        <f>G95+I95/E95</f>
        <v>1</v>
      </c>
      <c r="K95" s="81" t="s">
        <v>121</v>
      </c>
      <c r="L95" s="82"/>
      <c r="M95" s="83">
        <f t="shared" si="12"/>
        <v>0</v>
      </c>
      <c r="N95" s="53"/>
      <c r="O95" s="84" t="s">
        <v>211</v>
      </c>
      <c r="P95" s="85">
        <f>I95+G95*E95</f>
        <v>112</v>
      </c>
      <c r="Q95" s="86"/>
      <c r="R95" s="56"/>
    </row>
    <row r="96" spans="2:18" s="24" customFormat="1" ht="15.75" x14ac:dyDescent="0.25">
      <c r="B96" s="74" t="s">
        <v>119</v>
      </c>
      <c r="C96" s="75" t="s">
        <v>24</v>
      </c>
      <c r="D96" s="76" t="s">
        <v>212</v>
      </c>
      <c r="E96" s="77">
        <v>152</v>
      </c>
      <c r="F96" s="89"/>
      <c r="G96" s="79">
        <v>3</v>
      </c>
      <c r="H96" s="104"/>
      <c r="I96" s="88">
        <v>99</v>
      </c>
      <c r="J96" s="80">
        <f>G96+I96/E96</f>
        <v>3.6513157894736841</v>
      </c>
      <c r="K96" s="81" t="s">
        <v>121</v>
      </c>
      <c r="L96" s="82"/>
      <c r="M96" s="83">
        <f t="shared" si="12"/>
        <v>0</v>
      </c>
      <c r="N96" s="53"/>
      <c r="O96" s="84" t="s">
        <v>213</v>
      </c>
      <c r="P96" s="85">
        <f>I96+G96*E96</f>
        <v>555</v>
      </c>
      <c r="Q96" s="86"/>
      <c r="R96" s="56"/>
    </row>
    <row r="97" spans="1:60" s="103" customFormat="1" ht="15.75" x14ac:dyDescent="0.25">
      <c r="B97" s="74" t="s">
        <v>214</v>
      </c>
      <c r="C97" s="75" t="s">
        <v>24</v>
      </c>
      <c r="D97" s="76" t="s">
        <v>215</v>
      </c>
      <c r="E97" s="77">
        <v>1056</v>
      </c>
      <c r="F97" s="122">
        <v>176</v>
      </c>
      <c r="G97" s="79">
        <v>1</v>
      </c>
      <c r="H97" s="123">
        <v>0.95</v>
      </c>
      <c r="I97" s="124"/>
      <c r="J97" s="80">
        <f>G97+H97*F97/E97</f>
        <v>1.1583333333333332</v>
      </c>
      <c r="K97" s="81" t="s">
        <v>121</v>
      </c>
      <c r="L97" s="82"/>
      <c r="M97" s="125">
        <f t="shared" si="12"/>
        <v>0</v>
      </c>
      <c r="N97" s="126"/>
      <c r="O97" s="84">
        <v>69740</v>
      </c>
      <c r="P97" s="127">
        <f>H97+G97*(E97/F97)</f>
        <v>6.95</v>
      </c>
      <c r="Q97" s="86"/>
      <c r="R97" s="56"/>
      <c r="S97" s="24"/>
    </row>
    <row r="98" spans="1:60" s="103" customFormat="1" ht="15.75" x14ac:dyDescent="0.25">
      <c r="B98" s="74" t="s">
        <v>214</v>
      </c>
      <c r="C98" s="75" t="s">
        <v>24</v>
      </c>
      <c r="D98" s="76" t="s">
        <v>216</v>
      </c>
      <c r="E98" s="77">
        <v>1104</v>
      </c>
      <c r="F98" s="122">
        <v>184</v>
      </c>
      <c r="G98" s="79">
        <v>0</v>
      </c>
      <c r="H98" s="123">
        <v>0</v>
      </c>
      <c r="I98" s="124"/>
      <c r="J98" s="80">
        <f>G98+H98*F98/E98</f>
        <v>0</v>
      </c>
      <c r="K98" s="81" t="s">
        <v>121</v>
      </c>
      <c r="L98" s="82"/>
      <c r="M98" s="125">
        <f t="shared" si="12"/>
        <v>0</v>
      </c>
      <c r="N98" s="126"/>
      <c r="O98" s="84" t="s">
        <v>217</v>
      </c>
      <c r="P98" s="127">
        <f>H98+G98*(E98/F98)</f>
        <v>0</v>
      </c>
      <c r="Q98" s="86"/>
      <c r="R98" s="56"/>
      <c r="S98" s="24"/>
    </row>
    <row r="99" spans="1:60" s="103" customFormat="1" ht="15.75" x14ac:dyDescent="0.25">
      <c r="B99" s="74" t="s">
        <v>214</v>
      </c>
      <c r="C99" s="75" t="s">
        <v>24</v>
      </c>
      <c r="D99" s="76" t="s">
        <v>218</v>
      </c>
      <c r="E99" s="77">
        <v>288</v>
      </c>
      <c r="F99" s="122">
        <v>24</v>
      </c>
      <c r="G99" s="79">
        <v>0</v>
      </c>
      <c r="H99" s="123">
        <v>0</v>
      </c>
      <c r="I99" s="124"/>
      <c r="J99" s="80">
        <f>G99+H99*F99/E99</f>
        <v>0</v>
      </c>
      <c r="K99" s="81" t="s">
        <v>121</v>
      </c>
      <c r="L99" s="82"/>
      <c r="M99" s="125">
        <f t="shared" si="12"/>
        <v>0</v>
      </c>
      <c r="N99" s="126"/>
      <c r="O99" s="84" t="s">
        <v>219</v>
      </c>
      <c r="P99" s="127">
        <f>H99+G99*(E99/F99)</f>
        <v>0</v>
      </c>
      <c r="Q99" s="86"/>
      <c r="R99" s="56"/>
      <c r="S99" s="24"/>
    </row>
    <row r="100" spans="1:60" s="24" customFormat="1" ht="15.75" x14ac:dyDescent="0.25">
      <c r="B100" s="74" t="s">
        <v>214</v>
      </c>
      <c r="C100" s="75" t="s">
        <v>24</v>
      </c>
      <c r="D100" s="76" t="s">
        <v>220</v>
      </c>
      <c r="E100" s="77">
        <v>16</v>
      </c>
      <c r="F100" s="89"/>
      <c r="G100" s="79">
        <v>0</v>
      </c>
      <c r="H100" s="123">
        <v>7.01</v>
      </c>
      <c r="I100" s="105"/>
      <c r="J100" s="80">
        <f>G100+H100/E100</f>
        <v>0.43812499999999999</v>
      </c>
      <c r="K100" s="81" t="s">
        <v>121</v>
      </c>
      <c r="L100" s="82"/>
      <c r="M100" s="83">
        <f t="shared" si="12"/>
        <v>0</v>
      </c>
      <c r="N100" s="53"/>
      <c r="O100" s="84">
        <v>788042</v>
      </c>
      <c r="P100" s="85">
        <f>H100+G100*E100</f>
        <v>7.01</v>
      </c>
      <c r="Q100" s="86"/>
      <c r="R100" s="56"/>
    </row>
    <row r="101" spans="1:60" s="24" customFormat="1" ht="15.75" x14ac:dyDescent="0.25">
      <c r="B101" s="74" t="s">
        <v>221</v>
      </c>
      <c r="C101" s="75" t="s">
        <v>24</v>
      </c>
      <c r="D101" s="76" t="s">
        <v>222</v>
      </c>
      <c r="E101" s="77">
        <v>550</v>
      </c>
      <c r="F101" s="89"/>
      <c r="G101" s="79">
        <v>0</v>
      </c>
      <c r="H101" s="104"/>
      <c r="I101" s="88">
        <v>295</v>
      </c>
      <c r="J101" s="80">
        <f>G101+I101/E101</f>
        <v>0.53636363636363638</v>
      </c>
      <c r="K101" s="81" t="s">
        <v>121</v>
      </c>
      <c r="L101" s="82"/>
      <c r="M101" s="83">
        <f t="shared" si="12"/>
        <v>0</v>
      </c>
      <c r="N101" s="53"/>
      <c r="O101" s="84">
        <v>651901</v>
      </c>
      <c r="P101" s="85">
        <f>I101+G101*E101</f>
        <v>295</v>
      </c>
      <c r="Q101" s="86"/>
      <c r="R101" s="56"/>
    </row>
    <row r="102" spans="1:60" s="24" customFormat="1" ht="15.75" x14ac:dyDescent="0.25">
      <c r="B102" s="74" t="s">
        <v>221</v>
      </c>
      <c r="C102" s="75" t="s">
        <v>24</v>
      </c>
      <c r="D102" s="76" t="s">
        <v>223</v>
      </c>
      <c r="E102" s="77">
        <v>224</v>
      </c>
      <c r="F102" s="89"/>
      <c r="G102" s="79">
        <v>0</v>
      </c>
      <c r="H102" s="104"/>
      <c r="I102" s="88">
        <v>0</v>
      </c>
      <c r="J102" s="80">
        <f>G102+I102/E102</f>
        <v>0</v>
      </c>
      <c r="K102" s="81" t="s">
        <v>121</v>
      </c>
      <c r="L102" s="82"/>
      <c r="M102" s="83">
        <f t="shared" si="12"/>
        <v>0</v>
      </c>
      <c r="N102" s="53"/>
      <c r="O102" s="84" t="s">
        <v>224</v>
      </c>
      <c r="P102" s="85">
        <f>I102+G102*E102</f>
        <v>0</v>
      </c>
      <c r="Q102" s="86"/>
      <c r="R102" s="56"/>
    </row>
    <row r="103" spans="1:60" s="24" customFormat="1" ht="15.75" x14ac:dyDescent="0.25">
      <c r="B103" s="74" t="s">
        <v>221</v>
      </c>
      <c r="C103" s="75" t="s">
        <v>24</v>
      </c>
      <c r="D103" s="76" t="s">
        <v>225</v>
      </c>
      <c r="E103" s="77">
        <v>250</v>
      </c>
      <c r="F103" s="81">
        <v>10</v>
      </c>
      <c r="G103" s="79">
        <v>0</v>
      </c>
      <c r="H103" s="104"/>
      <c r="I103" s="88">
        <v>0</v>
      </c>
      <c r="J103" s="80">
        <f t="shared" ref="J103:J104" si="14">G103+H103*F103/E103+I103/E103</f>
        <v>0</v>
      </c>
      <c r="K103" s="81" t="s">
        <v>121</v>
      </c>
      <c r="L103" s="82"/>
      <c r="M103" s="83">
        <f t="shared" si="12"/>
        <v>0</v>
      </c>
      <c r="N103" s="53"/>
      <c r="O103" s="84" t="s">
        <v>226</v>
      </c>
      <c r="P103" s="85">
        <f>I103+H103*F103+G103*E103</f>
        <v>0</v>
      </c>
      <c r="Q103" s="86"/>
      <c r="R103" s="56"/>
    </row>
    <row r="104" spans="1:60" s="24" customFormat="1" ht="15.75" x14ac:dyDescent="0.25">
      <c r="B104" s="74" t="s">
        <v>221</v>
      </c>
      <c r="C104" s="75" t="s">
        <v>24</v>
      </c>
      <c r="D104" s="76" t="s">
        <v>227</v>
      </c>
      <c r="E104" s="77">
        <v>100</v>
      </c>
      <c r="F104" s="81">
        <v>50</v>
      </c>
      <c r="G104" s="79">
        <v>0</v>
      </c>
      <c r="H104" s="128"/>
      <c r="I104" s="88">
        <v>0</v>
      </c>
      <c r="J104" s="80">
        <f t="shared" si="14"/>
        <v>0</v>
      </c>
      <c r="K104" s="81" t="s">
        <v>121</v>
      </c>
      <c r="L104" s="82"/>
      <c r="M104" s="83">
        <f t="shared" si="12"/>
        <v>0</v>
      </c>
      <c r="N104" s="53"/>
      <c r="O104" s="84" t="s">
        <v>228</v>
      </c>
      <c r="P104" s="85">
        <f>I104+H104*F104+G104*E104</f>
        <v>0</v>
      </c>
      <c r="Q104" s="86"/>
      <c r="R104" s="56"/>
    </row>
    <row r="105" spans="1:60" s="24" customFormat="1" ht="15.75" x14ac:dyDescent="0.25">
      <c r="B105" s="74" t="s">
        <v>221</v>
      </c>
      <c r="C105" s="74" t="s">
        <v>24</v>
      </c>
      <c r="D105" s="76" t="s">
        <v>229</v>
      </c>
      <c r="E105" s="91">
        <v>6</v>
      </c>
      <c r="F105" s="93"/>
      <c r="G105" s="79">
        <v>1</v>
      </c>
      <c r="H105" s="87">
        <v>4.95</v>
      </c>
      <c r="I105" s="129"/>
      <c r="J105" s="130">
        <f>G105+H105/E105</f>
        <v>1.8250000000000002</v>
      </c>
      <c r="K105" s="93" t="s">
        <v>121</v>
      </c>
      <c r="L105" s="83"/>
      <c r="M105" s="83">
        <f t="shared" si="12"/>
        <v>0</v>
      </c>
      <c r="N105" s="53"/>
      <c r="O105" s="131">
        <v>845628</v>
      </c>
      <c r="P105" s="132">
        <f>(H105+G105*E105)*2.75</f>
        <v>30.112499999999997</v>
      </c>
      <c r="Q105" s="86"/>
      <c r="R105" s="56"/>
    </row>
    <row r="106" spans="1:60" s="24" customFormat="1" ht="15.75" x14ac:dyDescent="0.25">
      <c r="B106" s="74" t="s">
        <v>221</v>
      </c>
      <c r="C106" s="75" t="s">
        <v>24</v>
      </c>
      <c r="D106" s="76" t="s">
        <v>230</v>
      </c>
      <c r="E106" s="77">
        <v>1</v>
      </c>
      <c r="F106" s="89"/>
      <c r="G106" s="114"/>
      <c r="H106" s="104"/>
      <c r="I106" s="88">
        <v>0</v>
      </c>
      <c r="J106" s="80">
        <f>I106</f>
        <v>0</v>
      </c>
      <c r="K106" s="93" t="s">
        <v>231</v>
      </c>
      <c r="L106" s="82"/>
      <c r="M106" s="83">
        <f t="shared" si="12"/>
        <v>0</v>
      </c>
      <c r="N106" s="53"/>
      <c r="O106" s="84" t="s">
        <v>232</v>
      </c>
      <c r="P106" s="85">
        <f>I106*10</f>
        <v>0</v>
      </c>
      <c r="Q106" s="86"/>
      <c r="R106" s="56"/>
    </row>
    <row r="107" spans="1:60" s="24" customFormat="1" ht="15.75" x14ac:dyDescent="0.25">
      <c r="B107" s="74" t="s">
        <v>221</v>
      </c>
      <c r="C107" s="75" t="s">
        <v>24</v>
      </c>
      <c r="D107" s="133" t="s">
        <v>233</v>
      </c>
      <c r="E107" s="77">
        <v>6</v>
      </c>
      <c r="F107" s="89"/>
      <c r="G107" s="79">
        <v>1</v>
      </c>
      <c r="H107" s="87">
        <v>1.25</v>
      </c>
      <c r="I107" s="105"/>
      <c r="J107" s="80">
        <f>G107+H107/E107</f>
        <v>1.2083333333333333</v>
      </c>
      <c r="K107" s="81" t="s">
        <v>121</v>
      </c>
      <c r="L107" s="82"/>
      <c r="M107" s="83">
        <f t="shared" si="12"/>
        <v>0</v>
      </c>
      <c r="N107" s="53"/>
      <c r="O107" s="84">
        <v>827915</v>
      </c>
      <c r="P107" s="85">
        <f>(H107+G107*E107)*1</f>
        <v>7.25</v>
      </c>
      <c r="Q107" s="86"/>
      <c r="R107" s="56"/>
    </row>
    <row r="108" spans="1:60" s="24" customFormat="1" ht="15.75" x14ac:dyDescent="0.25">
      <c r="B108" s="74" t="s">
        <v>221</v>
      </c>
      <c r="C108" s="75" t="s">
        <v>24</v>
      </c>
      <c r="D108" s="133" t="s">
        <v>234</v>
      </c>
      <c r="E108" s="77">
        <v>4</v>
      </c>
      <c r="F108" s="89"/>
      <c r="G108" s="105"/>
      <c r="H108" s="105"/>
      <c r="I108" s="88">
        <v>2.75</v>
      </c>
      <c r="J108" s="80">
        <f>I108</f>
        <v>2.75</v>
      </c>
      <c r="K108" s="93" t="s">
        <v>235</v>
      </c>
      <c r="L108" s="82"/>
      <c r="M108" s="83">
        <f t="shared" si="12"/>
        <v>0</v>
      </c>
      <c r="N108" s="53"/>
      <c r="O108" s="84" t="s">
        <v>236</v>
      </c>
      <c r="P108" s="134">
        <f>J108*1.89</f>
        <v>5.1974999999999998</v>
      </c>
      <c r="Q108" s="86"/>
      <c r="R108" s="56"/>
    </row>
    <row r="109" spans="1:60" s="24" customFormat="1" ht="15.75" x14ac:dyDescent="0.25">
      <c r="B109" s="74" t="s">
        <v>221</v>
      </c>
      <c r="C109" s="75" t="s">
        <v>24</v>
      </c>
      <c r="D109" s="76" t="s">
        <v>237</v>
      </c>
      <c r="E109" s="77">
        <v>150</v>
      </c>
      <c r="F109" s="89"/>
      <c r="G109" s="79">
        <v>1</v>
      </c>
      <c r="H109" s="104"/>
      <c r="I109" s="88">
        <v>112</v>
      </c>
      <c r="J109" s="80">
        <f t="shared" ref="J109:J115" si="15">G109+I109/E109</f>
        <v>1.7466666666666666</v>
      </c>
      <c r="K109" s="81" t="s">
        <v>121</v>
      </c>
      <c r="L109" s="82"/>
      <c r="M109" s="83">
        <f t="shared" si="12"/>
        <v>0</v>
      </c>
      <c r="N109" s="53"/>
      <c r="O109" s="84">
        <v>58169</v>
      </c>
      <c r="P109" s="85">
        <f t="shared" si="9"/>
        <v>262</v>
      </c>
      <c r="Q109" s="86"/>
      <c r="R109" s="56"/>
    </row>
    <row r="110" spans="1:60" s="136" customFormat="1" ht="15.75" x14ac:dyDescent="0.25">
      <c r="A110" s="103"/>
      <c r="B110" s="94" t="s">
        <v>221</v>
      </c>
      <c r="C110" s="95" t="s">
        <v>24</v>
      </c>
      <c r="D110" s="76" t="s">
        <v>238</v>
      </c>
      <c r="E110" s="97">
        <v>150</v>
      </c>
      <c r="F110" s="135"/>
      <c r="G110" s="79">
        <v>0</v>
      </c>
      <c r="H110" s="104"/>
      <c r="I110" s="88">
        <v>0</v>
      </c>
      <c r="J110" s="99">
        <f t="shared" si="15"/>
        <v>0</v>
      </c>
      <c r="K110" s="100" t="s">
        <v>121</v>
      </c>
      <c r="L110" s="82"/>
      <c r="M110" s="83">
        <f t="shared" si="12"/>
        <v>0</v>
      </c>
      <c r="N110" s="53"/>
      <c r="O110" s="84" t="s">
        <v>239</v>
      </c>
      <c r="P110" s="85">
        <f t="shared" si="9"/>
        <v>0</v>
      </c>
      <c r="Q110" s="86"/>
      <c r="R110" s="56"/>
      <c r="S110" s="24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</row>
    <row r="111" spans="1:60" s="24" customFormat="1" ht="15.75" x14ac:dyDescent="0.25">
      <c r="B111" s="74" t="s">
        <v>221</v>
      </c>
      <c r="C111" s="75" t="s">
        <v>24</v>
      </c>
      <c r="D111" s="76" t="s">
        <v>240</v>
      </c>
      <c r="E111" s="77">
        <v>150</v>
      </c>
      <c r="F111" s="89"/>
      <c r="G111" s="79">
        <v>0</v>
      </c>
      <c r="H111" s="104"/>
      <c r="I111" s="88">
        <v>157</v>
      </c>
      <c r="J111" s="80">
        <f t="shared" si="15"/>
        <v>1.0466666666666666</v>
      </c>
      <c r="K111" s="81" t="s">
        <v>121</v>
      </c>
      <c r="L111" s="82"/>
      <c r="M111" s="83">
        <f t="shared" si="12"/>
        <v>0</v>
      </c>
      <c r="N111" s="53"/>
      <c r="O111" s="84">
        <v>89784</v>
      </c>
      <c r="P111" s="85">
        <f t="shared" si="9"/>
        <v>157</v>
      </c>
      <c r="Q111" s="86"/>
      <c r="R111" s="56"/>
    </row>
    <row r="112" spans="1:60" s="24" customFormat="1" ht="15.75" x14ac:dyDescent="0.25">
      <c r="B112" s="74" t="s">
        <v>221</v>
      </c>
      <c r="C112" s="75" t="s">
        <v>24</v>
      </c>
      <c r="D112" s="76" t="s">
        <v>241</v>
      </c>
      <c r="E112" s="77">
        <v>150</v>
      </c>
      <c r="F112" s="89"/>
      <c r="G112" s="79">
        <v>0</v>
      </c>
      <c r="H112" s="104"/>
      <c r="I112" s="88">
        <v>0</v>
      </c>
      <c r="J112" s="80">
        <f t="shared" si="15"/>
        <v>0</v>
      </c>
      <c r="K112" s="81" t="s">
        <v>14</v>
      </c>
      <c r="L112" s="82"/>
      <c r="M112" s="83">
        <f t="shared" si="12"/>
        <v>0</v>
      </c>
      <c r="N112" s="53"/>
      <c r="O112" s="84">
        <v>58177</v>
      </c>
      <c r="P112" s="85">
        <f t="shared" si="9"/>
        <v>0</v>
      </c>
      <c r="Q112" s="86"/>
      <c r="R112" s="56"/>
    </row>
    <row r="113" spans="2:18" s="24" customFormat="1" ht="15.75" x14ac:dyDescent="0.25">
      <c r="B113" s="74" t="s">
        <v>221</v>
      </c>
      <c r="C113" s="75" t="s">
        <v>24</v>
      </c>
      <c r="D113" s="76" t="s">
        <v>242</v>
      </c>
      <c r="E113" s="77">
        <v>100</v>
      </c>
      <c r="F113" s="89"/>
      <c r="G113" s="79">
        <v>0</v>
      </c>
      <c r="H113" s="104"/>
      <c r="I113" s="88">
        <v>0</v>
      </c>
      <c r="J113" s="80">
        <f t="shared" si="15"/>
        <v>0</v>
      </c>
      <c r="K113" s="81" t="s">
        <v>14</v>
      </c>
      <c r="L113" s="82"/>
      <c r="M113" s="83">
        <f t="shared" si="12"/>
        <v>0</v>
      </c>
      <c r="N113" s="53"/>
      <c r="O113" s="84" t="s">
        <v>243</v>
      </c>
      <c r="P113" s="85">
        <f t="shared" si="9"/>
        <v>0</v>
      </c>
      <c r="Q113" s="86"/>
      <c r="R113" s="56"/>
    </row>
    <row r="114" spans="2:18" s="24" customFormat="1" ht="15.75" x14ac:dyDescent="0.25">
      <c r="B114" s="74" t="s">
        <v>221</v>
      </c>
      <c r="C114" s="75" t="s">
        <v>24</v>
      </c>
      <c r="D114" s="76" t="s">
        <v>244</v>
      </c>
      <c r="E114" s="77">
        <v>200</v>
      </c>
      <c r="F114" s="89"/>
      <c r="G114" s="79">
        <v>0</v>
      </c>
      <c r="H114" s="104"/>
      <c r="I114" s="88">
        <v>0</v>
      </c>
      <c r="J114" s="80">
        <f t="shared" si="15"/>
        <v>0</v>
      </c>
      <c r="K114" s="81" t="s">
        <v>121</v>
      </c>
      <c r="L114" s="82"/>
      <c r="M114" s="83">
        <f t="shared" si="12"/>
        <v>0</v>
      </c>
      <c r="N114" s="53"/>
      <c r="O114" s="84">
        <v>923482</v>
      </c>
      <c r="P114" s="85">
        <f t="shared" si="9"/>
        <v>0</v>
      </c>
      <c r="Q114" s="86"/>
      <c r="R114" s="56"/>
    </row>
    <row r="115" spans="2:18" s="24" customFormat="1" ht="15.75" x14ac:dyDescent="0.25">
      <c r="B115" s="74" t="s">
        <v>221</v>
      </c>
      <c r="C115" s="75" t="s">
        <v>24</v>
      </c>
      <c r="D115" s="76" t="s">
        <v>245</v>
      </c>
      <c r="E115" s="77">
        <v>1500</v>
      </c>
      <c r="F115" s="89"/>
      <c r="G115" s="79">
        <v>1</v>
      </c>
      <c r="H115" s="104"/>
      <c r="I115" s="88">
        <v>1320</v>
      </c>
      <c r="J115" s="80">
        <f t="shared" si="15"/>
        <v>1.88</v>
      </c>
      <c r="K115" s="81" t="s">
        <v>121</v>
      </c>
      <c r="L115" s="82"/>
      <c r="M115" s="83">
        <f t="shared" si="12"/>
        <v>0</v>
      </c>
      <c r="N115" s="53"/>
      <c r="O115" s="84">
        <v>518852</v>
      </c>
      <c r="P115" s="85">
        <f t="shared" ref="P115:P202" si="16">I115+H115*F115+G115*E115</f>
        <v>2820</v>
      </c>
      <c r="Q115" s="86"/>
      <c r="R115" s="56"/>
    </row>
    <row r="116" spans="2:18" s="24" customFormat="1" ht="15.75" x14ac:dyDescent="0.25">
      <c r="B116" s="74" t="s">
        <v>221</v>
      </c>
      <c r="C116" s="75" t="s">
        <v>24</v>
      </c>
      <c r="D116" s="76" t="s">
        <v>246</v>
      </c>
      <c r="E116" s="77">
        <v>1000</v>
      </c>
      <c r="F116" s="89"/>
      <c r="G116" s="79">
        <v>0</v>
      </c>
      <c r="H116" s="104"/>
      <c r="I116" s="88">
        <v>0</v>
      </c>
      <c r="J116" s="80">
        <f>G116+I116/E116</f>
        <v>0</v>
      </c>
      <c r="K116" s="81" t="s">
        <v>121</v>
      </c>
      <c r="L116" s="82"/>
      <c r="M116" s="83">
        <f t="shared" si="12"/>
        <v>0</v>
      </c>
      <c r="N116" s="53"/>
      <c r="O116" s="84" t="s">
        <v>247</v>
      </c>
      <c r="P116" s="85">
        <f>I116+G116*E116</f>
        <v>0</v>
      </c>
      <c r="Q116" s="86"/>
      <c r="R116" s="56"/>
    </row>
    <row r="117" spans="2:18" s="24" customFormat="1" ht="15.75" x14ac:dyDescent="0.25">
      <c r="B117" s="74" t="s">
        <v>221</v>
      </c>
      <c r="C117" s="75" t="s">
        <v>24</v>
      </c>
      <c r="D117" s="76" t="s">
        <v>248</v>
      </c>
      <c r="E117" s="77">
        <v>288</v>
      </c>
      <c r="F117" s="89"/>
      <c r="G117" s="79">
        <v>0</v>
      </c>
      <c r="H117" s="104"/>
      <c r="I117" s="88">
        <v>0</v>
      </c>
      <c r="J117" s="80">
        <f>G117+I117/E117</f>
        <v>0</v>
      </c>
      <c r="K117" s="81" t="s">
        <v>121</v>
      </c>
      <c r="L117" s="82"/>
      <c r="M117" s="83">
        <f t="shared" si="12"/>
        <v>0</v>
      </c>
      <c r="N117" s="53"/>
      <c r="O117" s="84" t="s">
        <v>249</v>
      </c>
      <c r="P117" s="85">
        <f>I117+G117*E117</f>
        <v>0</v>
      </c>
      <c r="R117" s="56"/>
    </row>
    <row r="118" spans="2:18" s="24" customFormat="1" ht="15.75" x14ac:dyDescent="0.25">
      <c r="B118" s="74" t="s">
        <v>221</v>
      </c>
      <c r="C118" s="75" t="s">
        <v>24</v>
      </c>
      <c r="D118" s="76" t="s">
        <v>250</v>
      </c>
      <c r="E118" s="77">
        <v>288</v>
      </c>
      <c r="F118" s="89"/>
      <c r="G118" s="79">
        <v>0</v>
      </c>
      <c r="H118" s="104"/>
      <c r="I118" s="88">
        <v>0</v>
      </c>
      <c r="J118" s="80">
        <f>G118+I118/E118</f>
        <v>0</v>
      </c>
      <c r="K118" s="81" t="s">
        <v>121</v>
      </c>
      <c r="L118" s="82"/>
      <c r="M118" s="83">
        <f t="shared" si="12"/>
        <v>0</v>
      </c>
      <c r="N118" s="53"/>
      <c r="O118" s="84" t="s">
        <v>251</v>
      </c>
      <c r="P118" s="85">
        <f>I118+G118*E118</f>
        <v>0</v>
      </c>
      <c r="R118" s="56"/>
    </row>
    <row r="119" spans="2:18" s="24" customFormat="1" ht="15.75" x14ac:dyDescent="0.25">
      <c r="B119" s="137" t="s">
        <v>221</v>
      </c>
      <c r="C119" s="138" t="s">
        <v>24</v>
      </c>
      <c r="D119" s="133" t="s">
        <v>252</v>
      </c>
      <c r="E119" s="91">
        <v>1</v>
      </c>
      <c r="F119" s="93"/>
      <c r="G119" s="79">
        <v>0</v>
      </c>
      <c r="H119" s="139">
        <v>0</v>
      </c>
      <c r="I119" s="88">
        <v>8.32</v>
      </c>
      <c r="J119" s="130">
        <f>I119</f>
        <v>8.32</v>
      </c>
      <c r="K119" s="93" t="s">
        <v>253</v>
      </c>
      <c r="L119" s="83"/>
      <c r="M119" s="83">
        <f t="shared" si="12"/>
        <v>0</v>
      </c>
      <c r="N119" s="53"/>
      <c r="O119" s="131" t="s">
        <v>254</v>
      </c>
      <c r="P119" s="132">
        <f>I119*25</f>
        <v>208</v>
      </c>
      <c r="R119" s="56"/>
    </row>
    <row r="120" spans="2:18" s="24" customFormat="1" ht="15.75" x14ac:dyDescent="0.25">
      <c r="B120" s="74" t="s">
        <v>221</v>
      </c>
      <c r="C120" s="75" t="s">
        <v>24</v>
      </c>
      <c r="D120" s="76" t="s">
        <v>255</v>
      </c>
      <c r="E120" s="77">
        <v>4</v>
      </c>
      <c r="F120" s="89"/>
      <c r="G120" s="79">
        <v>0</v>
      </c>
      <c r="H120" s="139">
        <v>0</v>
      </c>
      <c r="I120" s="105"/>
      <c r="J120" s="80">
        <f t="shared" ref="J120:J126" si="17">G120+H120/E120</f>
        <v>0</v>
      </c>
      <c r="K120" s="81" t="s">
        <v>121</v>
      </c>
      <c r="L120" s="82"/>
      <c r="M120" s="83">
        <f t="shared" si="12"/>
        <v>0</v>
      </c>
      <c r="N120" s="53"/>
      <c r="O120" s="84">
        <v>99262</v>
      </c>
      <c r="P120" s="85">
        <f>(H120+G120*E120)*2.3</f>
        <v>0</v>
      </c>
      <c r="R120" s="56"/>
    </row>
    <row r="121" spans="2:18" s="24" customFormat="1" ht="15.75" x14ac:dyDescent="0.25">
      <c r="B121" s="74" t="s">
        <v>221</v>
      </c>
      <c r="C121" s="75" t="s">
        <v>24</v>
      </c>
      <c r="D121" s="76" t="s">
        <v>256</v>
      </c>
      <c r="E121" s="77">
        <v>6</v>
      </c>
      <c r="F121" s="89"/>
      <c r="G121" s="79">
        <v>1</v>
      </c>
      <c r="H121" s="139">
        <v>0.75</v>
      </c>
      <c r="I121" s="105"/>
      <c r="J121" s="80">
        <f t="shared" si="17"/>
        <v>1.125</v>
      </c>
      <c r="K121" s="81" t="s">
        <v>121</v>
      </c>
      <c r="L121" s="82"/>
      <c r="M121" s="83">
        <f t="shared" si="12"/>
        <v>0</v>
      </c>
      <c r="N121" s="53"/>
      <c r="O121" s="84">
        <v>9926211</v>
      </c>
      <c r="P121" s="85">
        <f>(H121+G121*E121)*2.3</f>
        <v>15.524999999999999</v>
      </c>
      <c r="R121" s="56"/>
    </row>
    <row r="122" spans="2:18" s="24" customFormat="1" ht="15.75" x14ac:dyDescent="0.25">
      <c r="B122" s="74" t="s">
        <v>221</v>
      </c>
      <c r="C122" s="75" t="s">
        <v>24</v>
      </c>
      <c r="D122" s="76" t="s">
        <v>257</v>
      </c>
      <c r="E122" s="77">
        <v>6</v>
      </c>
      <c r="F122" s="89"/>
      <c r="G122" s="79">
        <v>0</v>
      </c>
      <c r="H122" s="139">
        <v>0</v>
      </c>
      <c r="I122" s="105"/>
      <c r="J122" s="80">
        <f t="shared" si="17"/>
        <v>0</v>
      </c>
      <c r="K122" s="81" t="s">
        <v>121</v>
      </c>
      <c r="L122" s="82"/>
      <c r="M122" s="83">
        <f t="shared" si="12"/>
        <v>0</v>
      </c>
      <c r="N122" s="53"/>
      <c r="O122" s="84" t="s">
        <v>258</v>
      </c>
      <c r="P122" s="85">
        <f>(H122+G122*E122)*3</f>
        <v>0</v>
      </c>
      <c r="R122" s="56"/>
    </row>
    <row r="123" spans="2:18" s="103" customFormat="1" ht="20.45" customHeight="1" x14ac:dyDescent="0.25">
      <c r="B123" s="94" t="s">
        <v>221</v>
      </c>
      <c r="C123" s="95" t="s">
        <v>24</v>
      </c>
      <c r="D123" s="96" t="s">
        <v>259</v>
      </c>
      <c r="E123" s="97">
        <v>6</v>
      </c>
      <c r="F123" s="135"/>
      <c r="G123" s="79">
        <v>0</v>
      </c>
      <c r="H123" s="90"/>
      <c r="I123" s="88">
        <v>0</v>
      </c>
      <c r="J123" s="99">
        <f>I123/E123+G123</f>
        <v>0</v>
      </c>
      <c r="K123" s="81" t="s">
        <v>121</v>
      </c>
      <c r="L123" s="82"/>
      <c r="M123" s="83">
        <f t="shared" si="12"/>
        <v>0</v>
      </c>
      <c r="N123" s="53"/>
      <c r="O123" s="101" t="s">
        <v>260</v>
      </c>
      <c r="P123" s="102">
        <f>J123*E123</f>
        <v>0</v>
      </c>
      <c r="Q123" s="24"/>
      <c r="R123" s="56"/>
    </row>
    <row r="124" spans="2:18" s="24" customFormat="1" ht="15.75" x14ac:dyDescent="0.25">
      <c r="B124" s="74" t="s">
        <v>221</v>
      </c>
      <c r="C124" s="75" t="s">
        <v>24</v>
      </c>
      <c r="D124" s="76" t="s">
        <v>261</v>
      </c>
      <c r="E124" s="77">
        <v>12</v>
      </c>
      <c r="F124" s="89"/>
      <c r="G124" s="79">
        <v>0</v>
      </c>
      <c r="H124" s="87">
        <v>6.8</v>
      </c>
      <c r="I124" s="105"/>
      <c r="J124" s="80">
        <f t="shared" si="17"/>
        <v>0.56666666666666665</v>
      </c>
      <c r="K124" s="81" t="s">
        <v>262</v>
      </c>
      <c r="L124" s="82"/>
      <c r="M124" s="83">
        <f t="shared" si="12"/>
        <v>0</v>
      </c>
      <c r="N124" s="53"/>
      <c r="O124" s="84">
        <v>3256222114088</v>
      </c>
      <c r="P124" s="85">
        <f>H124+G124*E124</f>
        <v>6.8</v>
      </c>
      <c r="R124" s="56"/>
    </row>
    <row r="125" spans="2:18" s="24" customFormat="1" ht="15.75" x14ac:dyDescent="0.25">
      <c r="B125" s="74" t="s">
        <v>221</v>
      </c>
      <c r="C125" s="75" t="s">
        <v>24</v>
      </c>
      <c r="D125" s="76" t="s">
        <v>263</v>
      </c>
      <c r="E125" s="77">
        <v>12</v>
      </c>
      <c r="F125" s="89"/>
      <c r="G125" s="79">
        <v>0</v>
      </c>
      <c r="H125" s="87">
        <v>0</v>
      </c>
      <c r="I125" s="105"/>
      <c r="J125" s="80">
        <f t="shared" si="17"/>
        <v>0</v>
      </c>
      <c r="K125" s="81" t="s">
        <v>262</v>
      </c>
      <c r="L125" s="82"/>
      <c r="M125" s="83">
        <f t="shared" si="12"/>
        <v>0</v>
      </c>
      <c r="N125" s="53"/>
      <c r="O125" s="84" t="s">
        <v>264</v>
      </c>
      <c r="P125" s="85">
        <f>H125+G125*E125</f>
        <v>0</v>
      </c>
      <c r="R125" s="56"/>
    </row>
    <row r="126" spans="2:18" s="24" customFormat="1" ht="15.75" x14ac:dyDescent="0.25">
      <c r="B126" s="74" t="s">
        <v>221</v>
      </c>
      <c r="C126" s="75" t="s">
        <v>24</v>
      </c>
      <c r="D126" s="76" t="s">
        <v>265</v>
      </c>
      <c r="E126" s="77">
        <v>8</v>
      </c>
      <c r="F126" s="89"/>
      <c r="G126" s="79">
        <v>3</v>
      </c>
      <c r="H126" s="87">
        <v>5</v>
      </c>
      <c r="I126" s="105"/>
      <c r="J126" s="80">
        <f t="shared" si="17"/>
        <v>3.625</v>
      </c>
      <c r="K126" s="81" t="s">
        <v>121</v>
      </c>
      <c r="L126" s="82"/>
      <c r="M126" s="83">
        <f t="shared" si="12"/>
        <v>0</v>
      </c>
      <c r="N126" s="53"/>
      <c r="O126" s="84" t="s">
        <v>266</v>
      </c>
      <c r="P126" s="85">
        <f>(H126+G126*E126)*1.5</f>
        <v>43.5</v>
      </c>
      <c r="R126" s="56"/>
    </row>
    <row r="127" spans="2:18" s="24" customFormat="1" ht="15.75" x14ac:dyDescent="0.25">
      <c r="B127" s="74" t="s">
        <v>221</v>
      </c>
      <c r="C127" s="75" t="s">
        <v>24</v>
      </c>
      <c r="D127" s="76" t="s">
        <v>267</v>
      </c>
      <c r="E127" s="77">
        <v>12</v>
      </c>
      <c r="F127" s="89"/>
      <c r="G127" s="79">
        <v>0</v>
      </c>
      <c r="H127" s="87">
        <v>0</v>
      </c>
      <c r="I127" s="105"/>
      <c r="J127" s="80">
        <f>G127+H127/E127</f>
        <v>0</v>
      </c>
      <c r="K127" s="81" t="s">
        <v>121</v>
      </c>
      <c r="L127" s="82"/>
      <c r="M127" s="83">
        <f t="shared" si="12"/>
        <v>0</v>
      </c>
      <c r="N127" s="53"/>
      <c r="O127" s="84" t="s">
        <v>268</v>
      </c>
      <c r="P127" s="85">
        <f>H127+G127*E127</f>
        <v>0</v>
      </c>
      <c r="R127" s="56"/>
    </row>
    <row r="128" spans="2:18" s="24" customFormat="1" ht="15.75" x14ac:dyDescent="0.25">
      <c r="B128" s="74" t="s">
        <v>221</v>
      </c>
      <c r="C128" s="75" t="s">
        <v>24</v>
      </c>
      <c r="D128" s="76" t="s">
        <v>269</v>
      </c>
      <c r="E128" s="77">
        <v>12</v>
      </c>
      <c r="F128" s="89"/>
      <c r="G128" s="79">
        <v>0</v>
      </c>
      <c r="H128" s="87">
        <v>0</v>
      </c>
      <c r="I128" s="105"/>
      <c r="J128" s="80">
        <f>G128*E128+H128</f>
        <v>0</v>
      </c>
      <c r="K128" s="81" t="s">
        <v>270</v>
      </c>
      <c r="L128" s="82"/>
      <c r="M128" s="83">
        <f t="shared" si="12"/>
        <v>0</v>
      </c>
      <c r="N128" s="53"/>
      <c r="O128" s="84" t="s">
        <v>271</v>
      </c>
      <c r="P128" s="85">
        <f>H128+G128*E128</f>
        <v>0</v>
      </c>
      <c r="R128" s="56"/>
    </row>
    <row r="129" spans="2:18" s="24" customFormat="1" ht="15.75" x14ac:dyDescent="0.25">
      <c r="B129" s="74" t="s">
        <v>221</v>
      </c>
      <c r="C129" s="75" t="s">
        <v>24</v>
      </c>
      <c r="D129" s="76" t="s">
        <v>272</v>
      </c>
      <c r="E129" s="77">
        <v>12</v>
      </c>
      <c r="F129" s="89"/>
      <c r="G129" s="79">
        <v>0</v>
      </c>
      <c r="H129" s="87">
        <v>0</v>
      </c>
      <c r="I129" s="105"/>
      <c r="J129" s="80">
        <f>G129+H129/E129</f>
        <v>0</v>
      </c>
      <c r="K129" s="81" t="s">
        <v>121</v>
      </c>
      <c r="L129" s="82"/>
      <c r="M129" s="83">
        <f t="shared" si="12"/>
        <v>0</v>
      </c>
      <c r="N129" s="53"/>
      <c r="O129" s="84">
        <v>994061</v>
      </c>
      <c r="P129" s="85">
        <f>(H129+G129*E129)*0.4</f>
        <v>0</v>
      </c>
      <c r="R129" s="56"/>
    </row>
    <row r="130" spans="2:18" s="24" customFormat="1" ht="15.75" x14ac:dyDescent="0.25">
      <c r="B130" s="74" t="s">
        <v>221</v>
      </c>
      <c r="C130" s="75" t="s">
        <v>24</v>
      </c>
      <c r="D130" s="76" t="s">
        <v>273</v>
      </c>
      <c r="E130" s="77">
        <v>12</v>
      </c>
      <c r="F130" s="89"/>
      <c r="G130" s="79">
        <v>1</v>
      </c>
      <c r="H130" s="87">
        <v>7</v>
      </c>
      <c r="I130" s="105"/>
      <c r="J130" s="80">
        <f>G130+H130/E130</f>
        <v>1.5833333333333335</v>
      </c>
      <c r="K130" s="81" t="s">
        <v>121</v>
      </c>
      <c r="L130" s="82"/>
      <c r="M130" s="83">
        <f t="shared" si="12"/>
        <v>0</v>
      </c>
      <c r="N130" s="53"/>
      <c r="O130" s="84">
        <v>4267031</v>
      </c>
      <c r="P130" s="85">
        <f>H130+G130*E130</f>
        <v>19</v>
      </c>
      <c r="R130" s="56"/>
    </row>
    <row r="131" spans="2:18" s="24" customFormat="1" ht="15.75" x14ac:dyDescent="0.25">
      <c r="B131" s="74" t="s">
        <v>221</v>
      </c>
      <c r="C131" s="75" t="s">
        <v>24</v>
      </c>
      <c r="D131" s="76" t="s">
        <v>274</v>
      </c>
      <c r="E131" s="77">
        <v>12</v>
      </c>
      <c r="F131" s="89"/>
      <c r="G131" s="79">
        <v>0</v>
      </c>
      <c r="H131" s="87">
        <v>0</v>
      </c>
      <c r="I131" s="105"/>
      <c r="J131" s="80">
        <f>G131+H131/E131</f>
        <v>0</v>
      </c>
      <c r="K131" s="81" t="s">
        <v>121</v>
      </c>
      <c r="L131" s="82"/>
      <c r="M131" s="83">
        <f t="shared" si="12"/>
        <v>0</v>
      </c>
      <c r="N131" s="53"/>
      <c r="O131" s="84" t="s">
        <v>275</v>
      </c>
      <c r="P131" s="85">
        <f>(H131+G131*E131)*0.4</f>
        <v>0</v>
      </c>
      <c r="R131" s="56"/>
    </row>
    <row r="132" spans="2:18" s="24" customFormat="1" ht="15.75" x14ac:dyDescent="0.25">
      <c r="B132" s="74" t="s">
        <v>221</v>
      </c>
      <c r="C132" s="75" t="s">
        <v>24</v>
      </c>
      <c r="D132" s="76" t="s">
        <v>276</v>
      </c>
      <c r="E132" s="77">
        <v>8</v>
      </c>
      <c r="F132" s="89"/>
      <c r="G132" s="79">
        <v>2</v>
      </c>
      <c r="H132" s="87">
        <v>6.9</v>
      </c>
      <c r="I132" s="105"/>
      <c r="J132" s="80">
        <f t="shared" ref="J132:J142" si="18">G132+H132/E132</f>
        <v>2.8624999999999998</v>
      </c>
      <c r="K132" s="81" t="s">
        <v>121</v>
      </c>
      <c r="L132" s="82"/>
      <c r="M132" s="83">
        <f t="shared" si="12"/>
        <v>0</v>
      </c>
      <c r="N132" s="53"/>
      <c r="O132" s="84">
        <v>460162</v>
      </c>
      <c r="P132" s="85">
        <f>(H132+G132*E132)*1</f>
        <v>22.9</v>
      </c>
      <c r="R132" s="56"/>
    </row>
    <row r="133" spans="2:18" s="24" customFormat="1" ht="15.75" x14ac:dyDescent="0.25">
      <c r="B133" s="74" t="s">
        <v>221</v>
      </c>
      <c r="C133" s="75" t="s">
        <v>24</v>
      </c>
      <c r="D133" s="76" t="s">
        <v>277</v>
      </c>
      <c r="E133" s="77">
        <v>12</v>
      </c>
      <c r="F133" s="89"/>
      <c r="G133" s="79">
        <v>0</v>
      </c>
      <c r="H133" s="104"/>
      <c r="I133" s="88">
        <v>0</v>
      </c>
      <c r="J133" s="80">
        <f>G133+I133/E133</f>
        <v>0</v>
      </c>
      <c r="K133" s="81" t="s">
        <v>121</v>
      </c>
      <c r="L133" s="82"/>
      <c r="M133" s="83">
        <f t="shared" si="12"/>
        <v>0</v>
      </c>
      <c r="N133" s="53"/>
      <c r="O133" s="84" t="s">
        <v>278</v>
      </c>
      <c r="P133" s="85">
        <f>I133+G133*E133</f>
        <v>0</v>
      </c>
      <c r="R133" s="56"/>
    </row>
    <row r="134" spans="2:18" s="24" customFormat="1" ht="15.75" x14ac:dyDescent="0.25">
      <c r="B134" s="74" t="s">
        <v>221</v>
      </c>
      <c r="C134" s="75" t="s">
        <v>24</v>
      </c>
      <c r="D134" s="76" t="s">
        <v>279</v>
      </c>
      <c r="E134" s="77">
        <v>1</v>
      </c>
      <c r="F134" s="89"/>
      <c r="G134" s="79">
        <v>0</v>
      </c>
      <c r="H134" s="87">
        <v>0</v>
      </c>
      <c r="I134" s="105"/>
      <c r="J134" s="80">
        <f t="shared" si="18"/>
        <v>0</v>
      </c>
      <c r="K134" s="81" t="s">
        <v>121</v>
      </c>
      <c r="L134" s="82"/>
      <c r="M134" s="83">
        <f t="shared" si="12"/>
        <v>0</v>
      </c>
      <c r="N134" s="53"/>
      <c r="O134" s="84" t="s">
        <v>280</v>
      </c>
      <c r="P134" s="85">
        <f>(H134+G134*E134)*10</f>
        <v>0</v>
      </c>
      <c r="R134" s="56"/>
    </row>
    <row r="135" spans="2:18" s="24" customFormat="1" ht="15.75" x14ac:dyDescent="0.25">
      <c r="B135" s="74" t="s">
        <v>221</v>
      </c>
      <c r="C135" s="75" t="s">
        <v>24</v>
      </c>
      <c r="D135" s="76" t="s">
        <v>281</v>
      </c>
      <c r="E135" s="77">
        <v>14</v>
      </c>
      <c r="F135" s="89"/>
      <c r="G135" s="79">
        <v>1</v>
      </c>
      <c r="H135" s="87">
        <v>3.25</v>
      </c>
      <c r="I135" s="105"/>
      <c r="J135" s="80">
        <f t="shared" si="18"/>
        <v>1.2321428571428572</v>
      </c>
      <c r="K135" s="81" t="s">
        <v>121</v>
      </c>
      <c r="L135" s="82"/>
      <c r="M135" s="83">
        <f t="shared" si="12"/>
        <v>0</v>
      </c>
      <c r="N135" s="53"/>
      <c r="O135" s="84">
        <v>284919</v>
      </c>
      <c r="P135" s="85">
        <f>(H135+G135*E135)*1</f>
        <v>17.25</v>
      </c>
      <c r="R135" s="56"/>
    </row>
    <row r="136" spans="2:18" s="24" customFormat="1" ht="15.75" x14ac:dyDescent="0.25">
      <c r="B136" s="74" t="s">
        <v>221</v>
      </c>
      <c r="C136" s="75" t="s">
        <v>24</v>
      </c>
      <c r="D136" s="76" t="s">
        <v>282</v>
      </c>
      <c r="E136" s="77">
        <v>6</v>
      </c>
      <c r="F136" s="89"/>
      <c r="G136" s="79">
        <v>0</v>
      </c>
      <c r="H136" s="87">
        <v>0</v>
      </c>
      <c r="I136" s="105"/>
      <c r="J136" s="80">
        <f t="shared" si="18"/>
        <v>0</v>
      </c>
      <c r="K136" s="81" t="s">
        <v>121</v>
      </c>
      <c r="L136" s="82"/>
      <c r="M136" s="83">
        <f t="shared" si="12"/>
        <v>0</v>
      </c>
      <c r="N136" s="53"/>
      <c r="O136" s="84">
        <v>902171</v>
      </c>
      <c r="P136" s="85">
        <f>(H136+G136*E136)*1.3</f>
        <v>0</v>
      </c>
      <c r="R136" s="56"/>
    </row>
    <row r="137" spans="2:18" s="24" customFormat="1" ht="15.75" x14ac:dyDescent="0.25">
      <c r="B137" s="74" t="s">
        <v>221</v>
      </c>
      <c r="C137" s="75" t="s">
        <v>24</v>
      </c>
      <c r="D137" s="76" t="s">
        <v>283</v>
      </c>
      <c r="E137" s="77">
        <v>6</v>
      </c>
      <c r="F137" s="89"/>
      <c r="G137" s="79">
        <v>0</v>
      </c>
      <c r="H137" s="87">
        <v>0</v>
      </c>
      <c r="I137" s="105"/>
      <c r="J137" s="80">
        <f t="shared" si="18"/>
        <v>0</v>
      </c>
      <c r="K137" s="81" t="s">
        <v>121</v>
      </c>
      <c r="L137" s="82"/>
      <c r="M137" s="83">
        <f t="shared" si="12"/>
        <v>0</v>
      </c>
      <c r="N137" s="53"/>
      <c r="O137" s="84" t="s">
        <v>284</v>
      </c>
      <c r="P137" s="85">
        <f>(H137+G137*E137)*2.5</f>
        <v>0</v>
      </c>
      <c r="R137" s="56"/>
    </row>
    <row r="138" spans="2:18" s="24" customFormat="1" ht="15.75" x14ac:dyDescent="0.25">
      <c r="B138" s="137" t="s">
        <v>221</v>
      </c>
      <c r="C138" s="138" t="s">
        <v>24</v>
      </c>
      <c r="D138" s="133" t="s">
        <v>285</v>
      </c>
      <c r="E138" s="91">
        <v>8</v>
      </c>
      <c r="F138" s="93"/>
      <c r="G138" s="79">
        <v>0</v>
      </c>
      <c r="H138" s="87">
        <v>0</v>
      </c>
      <c r="I138" s="88">
        <v>0</v>
      </c>
      <c r="J138" s="130">
        <f t="shared" si="18"/>
        <v>0</v>
      </c>
      <c r="K138" s="93" t="s">
        <v>121</v>
      </c>
      <c r="L138" s="83"/>
      <c r="M138" s="83">
        <f t="shared" si="12"/>
        <v>0</v>
      </c>
      <c r="N138" s="53"/>
      <c r="O138" s="131">
        <v>950394</v>
      </c>
      <c r="P138" s="132">
        <f>(H138+G138*E138)*1</f>
        <v>0</v>
      </c>
      <c r="R138" s="56"/>
    </row>
    <row r="139" spans="2:18" s="24" customFormat="1" ht="15.75" x14ac:dyDescent="0.25">
      <c r="B139" s="140" t="s">
        <v>221</v>
      </c>
      <c r="C139" s="141" t="s">
        <v>24</v>
      </c>
      <c r="D139" s="142" t="s">
        <v>286</v>
      </c>
      <c r="E139" s="143">
        <v>4</v>
      </c>
      <c r="F139" s="89"/>
      <c r="G139" s="79">
        <v>0</v>
      </c>
      <c r="H139" s="87">
        <v>0</v>
      </c>
      <c r="I139" s="105"/>
      <c r="J139" s="80">
        <f t="shared" si="18"/>
        <v>0</v>
      </c>
      <c r="K139" s="81" t="s">
        <v>121</v>
      </c>
      <c r="L139" s="82"/>
      <c r="M139" s="83">
        <f t="shared" si="12"/>
        <v>0</v>
      </c>
      <c r="N139" s="53"/>
      <c r="O139" s="84" t="s">
        <v>287</v>
      </c>
      <c r="P139" s="85">
        <f>(H139+G139*E139)*1</f>
        <v>0</v>
      </c>
      <c r="R139" s="56"/>
    </row>
    <row r="140" spans="2:18" s="24" customFormat="1" ht="15.75" x14ac:dyDescent="0.25">
      <c r="B140" s="140" t="s">
        <v>221</v>
      </c>
      <c r="C140" s="141" t="s">
        <v>24</v>
      </c>
      <c r="D140" s="142" t="s">
        <v>288</v>
      </c>
      <c r="E140" s="143">
        <v>4</v>
      </c>
      <c r="F140" s="89"/>
      <c r="G140" s="79">
        <v>0</v>
      </c>
      <c r="H140" s="87">
        <v>3.25</v>
      </c>
      <c r="I140" s="105"/>
      <c r="J140" s="80">
        <f t="shared" si="18"/>
        <v>0.8125</v>
      </c>
      <c r="K140" s="81" t="s">
        <v>121</v>
      </c>
      <c r="L140" s="82"/>
      <c r="M140" s="83">
        <f t="shared" ref="M140:M209" si="19">J140*L140</f>
        <v>0</v>
      </c>
      <c r="N140" s="53"/>
      <c r="O140" s="84" t="s">
        <v>289</v>
      </c>
      <c r="P140" s="85">
        <f>(H140+G140*E140)*1.89</f>
        <v>6.1425000000000001</v>
      </c>
      <c r="R140" s="56"/>
    </row>
    <row r="141" spans="2:18" s="24" customFormat="1" ht="15.75" x14ac:dyDescent="0.25">
      <c r="B141" s="74" t="s">
        <v>221</v>
      </c>
      <c r="C141" s="75" t="s">
        <v>24</v>
      </c>
      <c r="D141" s="76" t="s">
        <v>290</v>
      </c>
      <c r="E141" s="77">
        <v>6</v>
      </c>
      <c r="F141" s="89"/>
      <c r="G141" s="79">
        <v>0</v>
      </c>
      <c r="H141" s="87">
        <v>0</v>
      </c>
      <c r="I141" s="105"/>
      <c r="J141" s="80">
        <f t="shared" si="18"/>
        <v>0</v>
      </c>
      <c r="K141" s="81" t="s">
        <v>121</v>
      </c>
      <c r="L141" s="82"/>
      <c r="M141" s="83">
        <f t="shared" si="19"/>
        <v>0</v>
      </c>
      <c r="N141" s="53"/>
      <c r="O141" s="84">
        <v>999284</v>
      </c>
      <c r="P141" s="85">
        <f>(H141+G141*E141)*1.3</f>
        <v>0</v>
      </c>
      <c r="R141" s="56"/>
    </row>
    <row r="142" spans="2:18" s="24" customFormat="1" ht="15.75" x14ac:dyDescent="0.25">
      <c r="B142" s="74" t="s">
        <v>221</v>
      </c>
      <c r="C142" s="75" t="s">
        <v>24</v>
      </c>
      <c r="D142" s="76" t="s">
        <v>291</v>
      </c>
      <c r="E142" s="77">
        <v>6</v>
      </c>
      <c r="F142" s="89"/>
      <c r="G142" s="79">
        <v>0</v>
      </c>
      <c r="H142" s="104"/>
      <c r="I142" s="105"/>
      <c r="J142" s="80">
        <f t="shared" si="18"/>
        <v>0</v>
      </c>
      <c r="K142" s="81" t="s">
        <v>121</v>
      </c>
      <c r="L142" s="82"/>
      <c r="M142" s="83">
        <f t="shared" si="19"/>
        <v>0</v>
      </c>
      <c r="N142" s="53"/>
      <c r="O142" s="84">
        <v>68028</v>
      </c>
      <c r="P142" s="85">
        <f>(H142+G142*E142)*1.3</f>
        <v>0</v>
      </c>
      <c r="R142" s="56"/>
    </row>
    <row r="143" spans="2:18" s="24" customFormat="1" ht="15.75" x14ac:dyDescent="0.25">
      <c r="B143" s="74" t="s">
        <v>221</v>
      </c>
      <c r="C143" s="75" t="s">
        <v>24</v>
      </c>
      <c r="D143" s="76" t="s">
        <v>292</v>
      </c>
      <c r="E143" s="77">
        <v>1</v>
      </c>
      <c r="F143" s="144"/>
      <c r="G143" s="114"/>
      <c r="H143" s="104"/>
      <c r="I143" s="88">
        <v>1.95</v>
      </c>
      <c r="J143" s="80">
        <f>I143</f>
        <v>1.95</v>
      </c>
      <c r="K143" s="81" t="s">
        <v>121</v>
      </c>
      <c r="L143" s="82"/>
      <c r="M143" s="83">
        <f t="shared" si="19"/>
        <v>0</v>
      </c>
      <c r="N143" s="53"/>
      <c r="O143" s="84">
        <v>258822</v>
      </c>
      <c r="P143" s="85">
        <f>I143*15</f>
        <v>29.25</v>
      </c>
      <c r="R143" s="56"/>
    </row>
    <row r="144" spans="2:18" s="24" customFormat="1" ht="15.75" x14ac:dyDescent="0.25">
      <c r="B144" s="74" t="s">
        <v>221</v>
      </c>
      <c r="C144" s="75" t="s">
        <v>24</v>
      </c>
      <c r="D144" s="76" t="s">
        <v>293</v>
      </c>
      <c r="E144" s="77">
        <v>4</v>
      </c>
      <c r="F144" s="144"/>
      <c r="G144" s="79">
        <v>0</v>
      </c>
      <c r="H144" s="104"/>
      <c r="I144" s="88">
        <v>0</v>
      </c>
      <c r="J144" s="80">
        <f>G144+I144/E144</f>
        <v>0</v>
      </c>
      <c r="K144" s="81" t="s">
        <v>121</v>
      </c>
      <c r="L144" s="82"/>
      <c r="M144" s="83">
        <f t="shared" si="19"/>
        <v>0</v>
      </c>
      <c r="N144" s="53"/>
      <c r="O144" s="84" t="s">
        <v>294</v>
      </c>
      <c r="P144" s="85">
        <f>J144*20</f>
        <v>0</v>
      </c>
      <c r="R144" s="56"/>
    </row>
    <row r="145" spans="2:18" s="24" customFormat="1" ht="15.75" x14ac:dyDescent="0.25">
      <c r="B145" s="74" t="s">
        <v>221</v>
      </c>
      <c r="C145" s="75" t="s">
        <v>24</v>
      </c>
      <c r="D145" s="76" t="s">
        <v>295</v>
      </c>
      <c r="E145" s="77">
        <v>4</v>
      </c>
      <c r="F145" s="144"/>
      <c r="G145" s="79">
        <v>0</v>
      </c>
      <c r="H145" s="104"/>
      <c r="I145" s="88">
        <v>0</v>
      </c>
      <c r="J145" s="80">
        <f>G145+I145/E145</f>
        <v>0</v>
      </c>
      <c r="K145" s="81" t="s">
        <v>121</v>
      </c>
      <c r="L145" s="82"/>
      <c r="M145" s="83">
        <f t="shared" si="19"/>
        <v>0</v>
      </c>
      <c r="N145" s="53"/>
      <c r="O145" s="84" t="s">
        <v>296</v>
      </c>
      <c r="P145" s="85">
        <f>I145+G145*E145</f>
        <v>0</v>
      </c>
      <c r="R145" s="56"/>
    </row>
    <row r="146" spans="2:18" s="24" customFormat="1" ht="15.75" x14ac:dyDescent="0.25">
      <c r="B146" s="74" t="s">
        <v>221</v>
      </c>
      <c r="C146" s="75" t="s">
        <v>24</v>
      </c>
      <c r="D146" s="76" t="s">
        <v>297</v>
      </c>
      <c r="E146" s="77">
        <v>6</v>
      </c>
      <c r="F146" s="144"/>
      <c r="G146" s="79">
        <v>0</v>
      </c>
      <c r="H146" s="104"/>
      <c r="I146" s="105"/>
      <c r="J146" s="80">
        <f>G146+I146/E146</f>
        <v>0</v>
      </c>
      <c r="K146" s="81" t="s">
        <v>121</v>
      </c>
      <c r="L146" s="82"/>
      <c r="M146" s="83">
        <f t="shared" si="19"/>
        <v>0</v>
      </c>
      <c r="N146" s="53"/>
      <c r="O146" s="84" t="s">
        <v>298</v>
      </c>
      <c r="P146" s="85">
        <f>I146+G146*E146</f>
        <v>0</v>
      </c>
      <c r="R146" s="56"/>
    </row>
    <row r="147" spans="2:18" s="24" customFormat="1" ht="15.75" x14ac:dyDescent="0.25">
      <c r="B147" s="137" t="s">
        <v>221</v>
      </c>
      <c r="C147" s="138" t="s">
        <v>24</v>
      </c>
      <c r="D147" s="133" t="s">
        <v>299</v>
      </c>
      <c r="E147" s="91">
        <v>1</v>
      </c>
      <c r="F147" s="92"/>
      <c r="G147" s="114"/>
      <c r="H147" s="104"/>
      <c r="I147" s="88">
        <v>0</v>
      </c>
      <c r="J147" s="130">
        <f>I147</f>
        <v>0</v>
      </c>
      <c r="K147" s="93" t="s">
        <v>121</v>
      </c>
      <c r="L147" s="83"/>
      <c r="M147" s="83">
        <f t="shared" si="19"/>
        <v>0</v>
      </c>
      <c r="N147" s="53"/>
      <c r="O147" s="131" t="s">
        <v>300</v>
      </c>
      <c r="P147" s="132">
        <f>I147*10</f>
        <v>0</v>
      </c>
      <c r="R147" s="56"/>
    </row>
    <row r="148" spans="2:18" s="24" customFormat="1" ht="15.75" x14ac:dyDescent="0.25">
      <c r="B148" s="74" t="s">
        <v>221</v>
      </c>
      <c r="C148" s="75" t="s">
        <v>24</v>
      </c>
      <c r="D148" s="76" t="s">
        <v>301</v>
      </c>
      <c r="E148" s="77">
        <v>6</v>
      </c>
      <c r="F148" s="144"/>
      <c r="G148" s="79">
        <v>0</v>
      </c>
      <c r="H148" s="104"/>
      <c r="I148" s="88">
        <v>0</v>
      </c>
      <c r="J148" s="80">
        <f>G148+I148/E148</f>
        <v>0</v>
      </c>
      <c r="K148" s="81" t="s">
        <v>121</v>
      </c>
      <c r="L148" s="82"/>
      <c r="M148" s="83">
        <f t="shared" si="19"/>
        <v>0</v>
      </c>
      <c r="N148" s="53"/>
      <c r="O148" s="84" t="s">
        <v>302</v>
      </c>
      <c r="P148" s="85">
        <f>J148*E148</f>
        <v>0</v>
      </c>
      <c r="R148" s="56"/>
    </row>
    <row r="149" spans="2:18" s="24" customFormat="1" ht="15.75" x14ac:dyDescent="0.25">
      <c r="B149" s="74" t="s">
        <v>221</v>
      </c>
      <c r="C149" s="75" t="s">
        <v>24</v>
      </c>
      <c r="D149" s="76" t="s">
        <v>303</v>
      </c>
      <c r="E149" s="77">
        <v>7</v>
      </c>
      <c r="F149" s="144"/>
      <c r="G149" s="79">
        <v>0</v>
      </c>
      <c r="H149" s="87">
        <v>0</v>
      </c>
      <c r="I149" s="105"/>
      <c r="J149" s="80">
        <f>G149+H149/E149</f>
        <v>0</v>
      </c>
      <c r="K149" s="81" t="s">
        <v>121</v>
      </c>
      <c r="L149" s="82"/>
      <c r="M149" s="83">
        <f t="shared" si="19"/>
        <v>0</v>
      </c>
      <c r="N149" s="53"/>
      <c r="O149" s="84">
        <v>58185</v>
      </c>
      <c r="P149" s="85">
        <f>(H149+G149*E149)*2</f>
        <v>0</v>
      </c>
      <c r="R149" s="56"/>
    </row>
    <row r="150" spans="2:18" s="24" customFormat="1" ht="15.75" x14ac:dyDescent="0.25">
      <c r="B150" s="74" t="s">
        <v>221</v>
      </c>
      <c r="C150" s="75" t="s">
        <v>24</v>
      </c>
      <c r="D150" s="76" t="s">
        <v>304</v>
      </c>
      <c r="E150" s="77">
        <v>4</v>
      </c>
      <c r="F150" s="144"/>
      <c r="G150" s="79">
        <v>0</v>
      </c>
      <c r="H150" s="104"/>
      <c r="I150" s="88">
        <v>0</v>
      </c>
      <c r="J150" s="80">
        <f>G150+I150/E150</f>
        <v>0</v>
      </c>
      <c r="K150" s="81" t="s">
        <v>121</v>
      </c>
      <c r="L150" s="82"/>
      <c r="M150" s="83">
        <f t="shared" si="19"/>
        <v>0</v>
      </c>
      <c r="N150" s="53"/>
      <c r="O150" s="84" t="s">
        <v>305</v>
      </c>
      <c r="P150" s="85">
        <f>I150+G150*E150</f>
        <v>0</v>
      </c>
      <c r="R150" s="56"/>
    </row>
    <row r="151" spans="2:18" s="24" customFormat="1" ht="15.75" x14ac:dyDescent="0.25">
      <c r="B151" s="74" t="s">
        <v>221</v>
      </c>
      <c r="C151" s="75" t="s">
        <v>24</v>
      </c>
      <c r="D151" s="76" t="s">
        <v>306</v>
      </c>
      <c r="E151" s="77">
        <v>4</v>
      </c>
      <c r="F151" s="144"/>
      <c r="G151" s="79">
        <v>0</v>
      </c>
      <c r="H151" s="87">
        <v>0</v>
      </c>
      <c r="I151" s="105"/>
      <c r="J151" s="80">
        <f>G151+H151/E151</f>
        <v>0</v>
      </c>
      <c r="K151" s="81" t="s">
        <v>121</v>
      </c>
      <c r="L151" s="82"/>
      <c r="M151" s="83">
        <f t="shared" si="19"/>
        <v>0</v>
      </c>
      <c r="N151" s="53"/>
      <c r="O151" s="84" t="s">
        <v>307</v>
      </c>
      <c r="P151" s="85">
        <f>H151+G151*E151</f>
        <v>0</v>
      </c>
      <c r="R151" s="56"/>
    </row>
    <row r="152" spans="2:18" s="24" customFormat="1" ht="15.75" x14ac:dyDescent="0.25">
      <c r="B152" s="74" t="s">
        <v>221</v>
      </c>
      <c r="C152" s="75" t="s">
        <v>24</v>
      </c>
      <c r="D152" s="76" t="s">
        <v>308</v>
      </c>
      <c r="E152" s="77">
        <v>4</v>
      </c>
      <c r="F152" s="144"/>
      <c r="G152" s="79">
        <v>0</v>
      </c>
      <c r="H152" s="87">
        <v>0</v>
      </c>
      <c r="I152" s="105"/>
      <c r="J152" s="80">
        <f>G152+H152/E152</f>
        <v>0</v>
      </c>
      <c r="K152" s="81" t="s">
        <v>121</v>
      </c>
      <c r="L152" s="82"/>
      <c r="M152" s="83">
        <f t="shared" si="19"/>
        <v>0</v>
      </c>
      <c r="N152" s="53"/>
      <c r="O152" s="84" t="s">
        <v>309</v>
      </c>
      <c r="P152" s="85">
        <f>H152+G152*E152</f>
        <v>0</v>
      </c>
      <c r="R152" s="56"/>
    </row>
    <row r="153" spans="2:18" s="24" customFormat="1" ht="15.75" x14ac:dyDescent="0.25">
      <c r="B153" s="74" t="s">
        <v>221</v>
      </c>
      <c r="C153" s="75" t="s">
        <v>24</v>
      </c>
      <c r="D153" s="76" t="s">
        <v>310</v>
      </c>
      <c r="E153" s="77">
        <v>12</v>
      </c>
      <c r="F153" s="144"/>
      <c r="G153" s="79">
        <v>4</v>
      </c>
      <c r="H153" s="104"/>
      <c r="I153" s="88">
        <v>5.25</v>
      </c>
      <c r="J153" s="80">
        <f>G153+I153/E153</f>
        <v>4.4375</v>
      </c>
      <c r="K153" s="81" t="s">
        <v>121</v>
      </c>
      <c r="L153" s="82"/>
      <c r="M153" s="83">
        <f t="shared" si="19"/>
        <v>0</v>
      </c>
      <c r="N153" s="53"/>
      <c r="O153" s="84" t="s">
        <v>311</v>
      </c>
      <c r="P153" s="85">
        <f>I153+G153*E153</f>
        <v>53.25</v>
      </c>
      <c r="R153" s="56"/>
    </row>
    <row r="154" spans="2:18" s="24" customFormat="1" ht="15.75" x14ac:dyDescent="0.25">
      <c r="B154" s="74" t="s">
        <v>221</v>
      </c>
      <c r="C154" s="75" t="s">
        <v>24</v>
      </c>
      <c r="D154" s="76" t="s">
        <v>312</v>
      </c>
      <c r="E154" s="77">
        <v>4</v>
      </c>
      <c r="F154" s="144"/>
      <c r="G154" s="79">
        <v>0</v>
      </c>
      <c r="H154" s="104"/>
      <c r="I154" s="88">
        <v>3.5</v>
      </c>
      <c r="J154" s="80">
        <f>G154+I154/E154</f>
        <v>0.875</v>
      </c>
      <c r="K154" s="81" t="s">
        <v>313</v>
      </c>
      <c r="L154" s="82"/>
      <c r="M154" s="83">
        <f t="shared" si="19"/>
        <v>0</v>
      </c>
      <c r="N154" s="53"/>
      <c r="O154" s="84" t="s">
        <v>314</v>
      </c>
      <c r="P154" s="85">
        <f>I154+G154*E154</f>
        <v>3.5</v>
      </c>
      <c r="R154" s="56"/>
    </row>
    <row r="155" spans="2:18" s="24" customFormat="1" ht="15.75" x14ac:dyDescent="0.25">
      <c r="B155" s="74" t="s">
        <v>221</v>
      </c>
      <c r="C155" s="75" t="s">
        <v>24</v>
      </c>
      <c r="D155" s="76" t="s">
        <v>315</v>
      </c>
      <c r="E155" s="77">
        <v>12</v>
      </c>
      <c r="F155" s="144"/>
      <c r="G155" s="79">
        <v>0</v>
      </c>
      <c r="H155" s="104"/>
      <c r="I155" s="88">
        <v>0</v>
      </c>
      <c r="J155" s="80">
        <f>G155+I155/E155</f>
        <v>0</v>
      </c>
      <c r="K155" s="81" t="s">
        <v>316</v>
      </c>
      <c r="L155" s="82"/>
      <c r="M155" s="83">
        <f t="shared" si="19"/>
        <v>0</v>
      </c>
      <c r="N155" s="53"/>
      <c r="O155" s="84" t="s">
        <v>317</v>
      </c>
      <c r="P155" s="85">
        <f>(I155+G155*E155)*0.5</f>
        <v>0</v>
      </c>
      <c r="R155" s="56"/>
    </row>
    <row r="156" spans="2:18" s="158" customFormat="1" ht="15.75" x14ac:dyDescent="0.25">
      <c r="B156" s="145" t="s">
        <v>221</v>
      </c>
      <c r="C156" s="146" t="s">
        <v>24</v>
      </c>
      <c r="D156" s="147" t="s">
        <v>318</v>
      </c>
      <c r="E156" s="148">
        <v>1</v>
      </c>
      <c r="F156" s="149"/>
      <c r="G156" s="150"/>
      <c r="H156" s="128"/>
      <c r="I156" s="88">
        <v>0</v>
      </c>
      <c r="J156" s="151">
        <f>I156</f>
        <v>0</v>
      </c>
      <c r="K156" s="152" t="s">
        <v>121</v>
      </c>
      <c r="L156" s="153"/>
      <c r="M156" s="154">
        <f t="shared" si="19"/>
        <v>0</v>
      </c>
      <c r="N156" s="155"/>
      <c r="O156" s="156">
        <v>293506</v>
      </c>
      <c r="P156" s="157">
        <f>J156*14.5</f>
        <v>0</v>
      </c>
      <c r="Q156" s="24"/>
      <c r="R156" s="56"/>
    </row>
    <row r="157" spans="2:18" s="158" customFormat="1" ht="15.75" x14ac:dyDescent="0.25">
      <c r="B157" s="145" t="s">
        <v>221</v>
      </c>
      <c r="C157" s="146" t="s">
        <v>24</v>
      </c>
      <c r="D157" s="147" t="s">
        <v>319</v>
      </c>
      <c r="E157" s="148">
        <v>12</v>
      </c>
      <c r="F157" s="149"/>
      <c r="G157" s="159">
        <v>0</v>
      </c>
      <c r="H157" s="128"/>
      <c r="I157" s="88">
        <v>0</v>
      </c>
      <c r="J157" s="151">
        <f>G157+I157/E157</f>
        <v>0</v>
      </c>
      <c r="K157" s="152" t="s">
        <v>121</v>
      </c>
      <c r="L157" s="153"/>
      <c r="M157" s="154">
        <f t="shared" si="19"/>
        <v>0</v>
      </c>
      <c r="N157" s="155"/>
      <c r="O157" s="156" t="s">
        <v>320</v>
      </c>
      <c r="P157" s="157">
        <f>(I157+G157*E157)*350</f>
        <v>0</v>
      </c>
      <c r="Q157" s="24"/>
      <c r="R157" s="56"/>
    </row>
    <row r="158" spans="2:18" s="24" customFormat="1" ht="15.75" x14ac:dyDescent="0.25">
      <c r="B158" s="74" t="s">
        <v>221</v>
      </c>
      <c r="C158" s="75" t="s">
        <v>24</v>
      </c>
      <c r="D158" s="76" t="s">
        <v>321</v>
      </c>
      <c r="E158" s="77">
        <v>30</v>
      </c>
      <c r="F158" s="144"/>
      <c r="G158" s="159">
        <v>0</v>
      </c>
      <c r="H158" s="104"/>
      <c r="I158" s="88">
        <v>0</v>
      </c>
      <c r="J158" s="80">
        <f>G158+I158/E158</f>
        <v>0</v>
      </c>
      <c r="K158" s="81" t="s">
        <v>121</v>
      </c>
      <c r="L158" s="82"/>
      <c r="M158" s="83">
        <f t="shared" si="19"/>
        <v>0</v>
      </c>
      <c r="N158" s="53"/>
      <c r="O158" s="84">
        <v>950329</v>
      </c>
      <c r="P158" s="85">
        <f>I158+G158*E158</f>
        <v>0</v>
      </c>
      <c r="R158" s="56"/>
    </row>
    <row r="159" spans="2:18" s="24" customFormat="1" ht="15.75" x14ac:dyDescent="0.25">
      <c r="B159" s="74" t="s">
        <v>221</v>
      </c>
      <c r="C159" s="75" t="s">
        <v>24</v>
      </c>
      <c r="D159" s="76" t="s">
        <v>322</v>
      </c>
      <c r="E159" s="77">
        <v>100</v>
      </c>
      <c r="F159" s="144"/>
      <c r="G159" s="159">
        <v>0</v>
      </c>
      <c r="H159" s="104"/>
      <c r="I159" s="88">
        <v>70</v>
      </c>
      <c r="J159" s="80">
        <f>G159+I159/E159</f>
        <v>0.7</v>
      </c>
      <c r="K159" s="81" t="s">
        <v>121</v>
      </c>
      <c r="L159" s="82"/>
      <c r="M159" s="83">
        <f t="shared" si="19"/>
        <v>0</v>
      </c>
      <c r="N159" s="53"/>
      <c r="O159" s="84" t="s">
        <v>323</v>
      </c>
      <c r="P159" s="85">
        <f>I159+G159*E159</f>
        <v>70</v>
      </c>
      <c r="R159" s="56"/>
    </row>
    <row r="160" spans="2:18" s="24" customFormat="1" ht="15.75" x14ac:dyDescent="0.25">
      <c r="B160" s="74" t="s">
        <v>221</v>
      </c>
      <c r="C160" s="75" t="s">
        <v>24</v>
      </c>
      <c r="D160" s="76" t="s">
        <v>324</v>
      </c>
      <c r="E160" s="77">
        <v>10</v>
      </c>
      <c r="F160" s="89"/>
      <c r="G160" s="114"/>
      <c r="H160" s="104"/>
      <c r="I160" s="88">
        <v>0</v>
      </c>
      <c r="J160" s="80">
        <f>+I160</f>
        <v>0</v>
      </c>
      <c r="K160" s="81" t="s">
        <v>325</v>
      </c>
      <c r="L160" s="82"/>
      <c r="M160" s="83">
        <f t="shared" si="19"/>
        <v>0</v>
      </c>
      <c r="N160" s="53"/>
      <c r="O160" s="84">
        <v>140000001</v>
      </c>
      <c r="P160" s="85">
        <f>I160</f>
        <v>0</v>
      </c>
      <c r="R160" s="56"/>
    </row>
    <row r="161" spans="2:18" s="24" customFormat="1" ht="15.75" x14ac:dyDescent="0.25">
      <c r="B161" s="74" t="s">
        <v>221</v>
      </c>
      <c r="C161" s="75" t="s">
        <v>24</v>
      </c>
      <c r="D161" s="76" t="s">
        <v>326</v>
      </c>
      <c r="E161" s="77">
        <v>20</v>
      </c>
      <c r="F161" s="89"/>
      <c r="G161" s="79">
        <v>0</v>
      </c>
      <c r="H161" s="104"/>
      <c r="I161" s="88">
        <v>16.75</v>
      </c>
      <c r="J161" s="80">
        <f>G161+I161/E161</f>
        <v>0.83750000000000002</v>
      </c>
      <c r="K161" s="81" t="s">
        <v>327</v>
      </c>
      <c r="L161" s="82"/>
      <c r="M161" s="83">
        <f t="shared" si="19"/>
        <v>0</v>
      </c>
      <c r="N161" s="53"/>
      <c r="O161" s="160">
        <v>4006724011915</v>
      </c>
      <c r="P161" s="85">
        <f>J161*18.14</f>
        <v>15.192250000000001</v>
      </c>
      <c r="R161" s="56"/>
    </row>
    <row r="162" spans="2:18" s="24" customFormat="1" ht="15.75" x14ac:dyDescent="0.25">
      <c r="B162" s="74" t="s">
        <v>221</v>
      </c>
      <c r="C162" s="75" t="s">
        <v>24</v>
      </c>
      <c r="D162" s="76" t="s">
        <v>328</v>
      </c>
      <c r="E162" s="77">
        <v>20</v>
      </c>
      <c r="F162" s="89"/>
      <c r="G162" s="114"/>
      <c r="H162" s="104"/>
      <c r="I162" s="88">
        <v>0</v>
      </c>
      <c r="J162" s="80">
        <f>+I162</f>
        <v>0</v>
      </c>
      <c r="K162" s="81" t="s">
        <v>329</v>
      </c>
      <c r="L162" s="82"/>
      <c r="M162" s="83">
        <f t="shared" si="19"/>
        <v>0</v>
      </c>
      <c r="N162" s="53"/>
      <c r="O162" s="160" t="s">
        <v>330</v>
      </c>
      <c r="P162" s="85">
        <f>I162</f>
        <v>0</v>
      </c>
      <c r="R162" s="56"/>
    </row>
    <row r="163" spans="2:18" s="103" customFormat="1" ht="20.100000000000001" customHeight="1" x14ac:dyDescent="0.25">
      <c r="B163" s="94" t="s">
        <v>221</v>
      </c>
      <c r="C163" s="95" t="s">
        <v>24</v>
      </c>
      <c r="D163" s="96" t="s">
        <v>331</v>
      </c>
      <c r="E163" s="97">
        <v>12</v>
      </c>
      <c r="F163" s="161"/>
      <c r="G163" s="79">
        <v>0</v>
      </c>
      <c r="H163" s="104"/>
      <c r="I163" s="88">
        <v>0</v>
      </c>
      <c r="J163" s="99">
        <f>G163+I163/E163</f>
        <v>0</v>
      </c>
      <c r="K163" s="100" t="s">
        <v>332</v>
      </c>
      <c r="L163" s="82"/>
      <c r="M163" s="83">
        <f t="shared" si="19"/>
        <v>0</v>
      </c>
      <c r="N163" s="53"/>
      <c r="O163" s="162" t="s">
        <v>333</v>
      </c>
      <c r="P163" s="127">
        <f>J163*12</f>
        <v>0</v>
      </c>
      <c r="Q163" s="24"/>
      <c r="R163" s="56"/>
    </row>
    <row r="164" spans="2:18" s="24" customFormat="1" ht="15.75" x14ac:dyDescent="0.25">
      <c r="B164" s="74" t="s">
        <v>214</v>
      </c>
      <c r="C164" s="75" t="s">
        <v>24</v>
      </c>
      <c r="D164" s="76" t="s">
        <v>334</v>
      </c>
      <c r="E164" s="113"/>
      <c r="F164" s="89"/>
      <c r="G164" s="114"/>
      <c r="H164" s="104"/>
      <c r="I164" s="88">
        <v>510</v>
      </c>
      <c r="J164" s="80">
        <f t="shared" ref="J164:J173" si="20">I164</f>
        <v>510</v>
      </c>
      <c r="K164" s="81" t="s">
        <v>335</v>
      </c>
      <c r="L164" s="82"/>
      <c r="M164" s="83">
        <f t="shared" si="19"/>
        <v>0</v>
      </c>
      <c r="N164" s="53"/>
      <c r="O164" s="84" t="s">
        <v>336</v>
      </c>
      <c r="P164" s="85">
        <f>I164/1000</f>
        <v>0.51</v>
      </c>
      <c r="R164" s="56"/>
    </row>
    <row r="165" spans="2:18" s="24" customFormat="1" ht="15.75" x14ac:dyDescent="0.25">
      <c r="B165" s="74" t="s">
        <v>214</v>
      </c>
      <c r="C165" s="75" t="s">
        <v>24</v>
      </c>
      <c r="D165" s="76" t="s">
        <v>337</v>
      </c>
      <c r="E165" s="113"/>
      <c r="F165" s="144"/>
      <c r="G165" s="114"/>
      <c r="H165" s="104"/>
      <c r="I165" s="88">
        <v>10.396000000000001</v>
      </c>
      <c r="J165" s="80">
        <f>I165</f>
        <v>10.396000000000001</v>
      </c>
      <c r="K165" s="81" t="s">
        <v>338</v>
      </c>
      <c r="L165" s="82"/>
      <c r="M165" s="83">
        <f t="shared" si="19"/>
        <v>0</v>
      </c>
      <c r="N165" s="53"/>
      <c r="O165" s="84" t="s">
        <v>339</v>
      </c>
      <c r="P165" s="85">
        <f t="shared" ref="P165:P173" si="21">I165</f>
        <v>10.396000000000001</v>
      </c>
      <c r="R165" s="56"/>
    </row>
    <row r="166" spans="2:18" s="24" customFormat="1" ht="15.75" x14ac:dyDescent="0.25">
      <c r="B166" s="74" t="s">
        <v>214</v>
      </c>
      <c r="C166" s="75" t="s">
        <v>24</v>
      </c>
      <c r="D166" s="76" t="s">
        <v>340</v>
      </c>
      <c r="E166" s="113"/>
      <c r="F166" s="144"/>
      <c r="G166" s="150"/>
      <c r="H166" s="128"/>
      <c r="I166" s="88">
        <v>0</v>
      </c>
      <c r="J166" s="80">
        <f>I166</f>
        <v>0</v>
      </c>
      <c r="K166" s="81" t="s">
        <v>338</v>
      </c>
      <c r="L166" s="82"/>
      <c r="M166" s="83">
        <f t="shared" si="19"/>
        <v>0</v>
      </c>
      <c r="N166" s="53"/>
      <c r="O166" s="84" t="s">
        <v>341</v>
      </c>
      <c r="P166" s="85">
        <f t="shared" si="21"/>
        <v>0</v>
      </c>
      <c r="R166" s="56"/>
    </row>
    <row r="167" spans="2:18" s="24" customFormat="1" ht="15.75" x14ac:dyDescent="0.25">
      <c r="B167" s="74" t="s">
        <v>214</v>
      </c>
      <c r="C167" s="75" t="s">
        <v>24</v>
      </c>
      <c r="D167" s="76" t="s">
        <v>342</v>
      </c>
      <c r="E167" s="113"/>
      <c r="F167" s="144"/>
      <c r="G167" s="150"/>
      <c r="H167" s="163"/>
      <c r="I167" s="88">
        <v>13.156000000000001</v>
      </c>
      <c r="J167" s="80">
        <f t="shared" si="20"/>
        <v>13.156000000000001</v>
      </c>
      <c r="K167" s="81" t="s">
        <v>338</v>
      </c>
      <c r="L167" s="82"/>
      <c r="M167" s="83">
        <f t="shared" si="19"/>
        <v>0</v>
      </c>
      <c r="N167" s="53"/>
      <c r="O167" s="84" t="s">
        <v>343</v>
      </c>
      <c r="P167" s="85">
        <f t="shared" si="21"/>
        <v>13.156000000000001</v>
      </c>
      <c r="R167" s="56"/>
    </row>
    <row r="168" spans="2:18" s="24" customFormat="1" ht="15.75" x14ac:dyDescent="0.25">
      <c r="B168" s="74" t="s">
        <v>214</v>
      </c>
      <c r="C168" s="75" t="s">
        <v>24</v>
      </c>
      <c r="D168" s="76" t="s">
        <v>344</v>
      </c>
      <c r="E168" s="113"/>
      <c r="F168" s="144"/>
      <c r="G168" s="150"/>
      <c r="H168" s="163"/>
      <c r="I168" s="88">
        <v>0</v>
      </c>
      <c r="J168" s="80">
        <f t="shared" si="20"/>
        <v>0</v>
      </c>
      <c r="K168" s="81" t="s">
        <v>338</v>
      </c>
      <c r="L168" s="82"/>
      <c r="M168" s="83">
        <f t="shared" si="19"/>
        <v>0</v>
      </c>
      <c r="N168" s="53"/>
      <c r="O168" s="84" t="s">
        <v>345</v>
      </c>
      <c r="P168" s="85">
        <f t="shared" si="21"/>
        <v>0</v>
      </c>
      <c r="R168" s="56"/>
    </row>
    <row r="169" spans="2:18" s="24" customFormat="1" ht="15.75" x14ac:dyDescent="0.25">
      <c r="B169" s="74" t="s">
        <v>214</v>
      </c>
      <c r="C169" s="75" t="s">
        <v>24</v>
      </c>
      <c r="D169" s="76" t="s">
        <v>346</v>
      </c>
      <c r="E169" s="113"/>
      <c r="F169" s="144"/>
      <c r="G169" s="150"/>
      <c r="H169" s="128"/>
      <c r="I169" s="88">
        <v>0</v>
      </c>
      <c r="J169" s="80">
        <f t="shared" si="20"/>
        <v>0</v>
      </c>
      <c r="K169" s="81" t="s">
        <v>338</v>
      </c>
      <c r="L169" s="82"/>
      <c r="M169" s="83">
        <f t="shared" si="19"/>
        <v>0</v>
      </c>
      <c r="N169" s="53"/>
      <c r="O169" s="84" t="s">
        <v>347</v>
      </c>
      <c r="P169" s="85">
        <f t="shared" si="21"/>
        <v>0</v>
      </c>
      <c r="R169" s="56"/>
    </row>
    <row r="170" spans="2:18" s="24" customFormat="1" ht="15.75" x14ac:dyDescent="0.25">
      <c r="B170" s="74" t="s">
        <v>214</v>
      </c>
      <c r="C170" s="75" t="s">
        <v>24</v>
      </c>
      <c r="D170" s="76" t="s">
        <v>348</v>
      </c>
      <c r="E170" s="113"/>
      <c r="F170" s="144"/>
      <c r="G170" s="150"/>
      <c r="H170" s="128"/>
      <c r="I170" s="88">
        <v>0</v>
      </c>
      <c r="J170" s="80">
        <f t="shared" si="20"/>
        <v>0</v>
      </c>
      <c r="K170" s="81" t="s">
        <v>338</v>
      </c>
      <c r="L170" s="82"/>
      <c r="M170" s="83">
        <f t="shared" si="19"/>
        <v>0</v>
      </c>
      <c r="N170" s="53"/>
      <c r="O170" s="84" t="s">
        <v>349</v>
      </c>
      <c r="P170" s="85">
        <f t="shared" si="21"/>
        <v>0</v>
      </c>
      <c r="R170" s="56"/>
    </row>
    <row r="171" spans="2:18" s="24" customFormat="1" ht="15" customHeight="1" x14ac:dyDescent="0.25">
      <c r="B171" s="74" t="s">
        <v>214</v>
      </c>
      <c r="C171" s="75" t="s">
        <v>24</v>
      </c>
      <c r="D171" s="76" t="s">
        <v>350</v>
      </c>
      <c r="E171" s="113"/>
      <c r="F171" s="144"/>
      <c r="G171" s="164"/>
      <c r="H171" s="165"/>
      <c r="I171" s="88">
        <v>0</v>
      </c>
      <c r="J171" s="80">
        <f t="shared" si="20"/>
        <v>0</v>
      </c>
      <c r="K171" s="81" t="s">
        <v>338</v>
      </c>
      <c r="L171" s="82"/>
      <c r="M171" s="83">
        <f t="shared" si="19"/>
        <v>0</v>
      </c>
      <c r="N171" s="53"/>
      <c r="O171" s="84" t="s">
        <v>351</v>
      </c>
      <c r="P171" s="85">
        <f t="shared" si="21"/>
        <v>0</v>
      </c>
      <c r="R171" s="56"/>
    </row>
    <row r="172" spans="2:18" s="24" customFormat="1" ht="15.75" x14ac:dyDescent="0.25">
      <c r="B172" s="74" t="s">
        <v>214</v>
      </c>
      <c r="C172" s="75" t="s">
        <v>352</v>
      </c>
      <c r="D172" s="76" t="s">
        <v>353</v>
      </c>
      <c r="E172" s="113"/>
      <c r="F172" s="164"/>
      <c r="G172" s="164"/>
      <c r="H172" s="165"/>
      <c r="I172" s="88">
        <v>17.818000000000001</v>
      </c>
      <c r="J172" s="80">
        <f t="shared" si="20"/>
        <v>17.818000000000001</v>
      </c>
      <c r="K172" s="81" t="s">
        <v>338</v>
      </c>
      <c r="L172" s="82"/>
      <c r="M172" s="83">
        <f t="shared" si="19"/>
        <v>0</v>
      </c>
      <c r="N172" s="53"/>
      <c r="O172" s="84" t="s">
        <v>354</v>
      </c>
      <c r="P172" s="85">
        <f t="shared" si="21"/>
        <v>17.818000000000001</v>
      </c>
      <c r="R172" s="56"/>
    </row>
    <row r="173" spans="2:18" s="24" customFormat="1" ht="15.75" x14ac:dyDescent="0.25">
      <c r="B173" s="94" t="s">
        <v>214</v>
      </c>
      <c r="C173" s="95" t="s">
        <v>355</v>
      </c>
      <c r="D173" s="96" t="s">
        <v>356</v>
      </c>
      <c r="E173" s="166"/>
      <c r="F173" s="167"/>
      <c r="G173" s="168"/>
      <c r="H173" s="169"/>
      <c r="I173" s="88">
        <v>0</v>
      </c>
      <c r="J173" s="99">
        <f t="shared" si="20"/>
        <v>0</v>
      </c>
      <c r="K173" s="100" t="s">
        <v>338</v>
      </c>
      <c r="L173" s="82"/>
      <c r="M173" s="83">
        <f t="shared" si="19"/>
        <v>0</v>
      </c>
      <c r="N173" s="53"/>
      <c r="O173" s="84" t="s">
        <v>357</v>
      </c>
      <c r="P173" s="102">
        <f t="shared" si="21"/>
        <v>0</v>
      </c>
      <c r="R173" s="56"/>
    </row>
    <row r="174" spans="2:18" s="24" customFormat="1" ht="15.75" x14ac:dyDescent="0.25">
      <c r="B174" s="94" t="s">
        <v>214</v>
      </c>
      <c r="C174" s="95" t="s">
        <v>24</v>
      </c>
      <c r="D174" s="96" t="s">
        <v>358</v>
      </c>
      <c r="E174" s="97">
        <v>250</v>
      </c>
      <c r="F174" s="79">
        <v>50</v>
      </c>
      <c r="G174" s="79">
        <v>0</v>
      </c>
      <c r="H174" s="79">
        <v>0</v>
      </c>
      <c r="I174" s="79">
        <v>0</v>
      </c>
      <c r="J174" s="99">
        <f t="shared" ref="J174:J176" si="22">G174+H174*F174/E174+I174/E174</f>
        <v>0</v>
      </c>
      <c r="K174" s="100" t="s">
        <v>359</v>
      </c>
      <c r="L174" s="82"/>
      <c r="M174" s="83">
        <f t="shared" si="19"/>
        <v>0</v>
      </c>
      <c r="N174" s="53"/>
      <c r="O174" s="84" t="s">
        <v>360</v>
      </c>
      <c r="P174" s="102">
        <f>J174*E174</f>
        <v>0</v>
      </c>
      <c r="R174" s="56"/>
    </row>
    <row r="175" spans="2:18" s="24" customFormat="1" ht="15.75" x14ac:dyDescent="0.25">
      <c r="B175" s="94" t="s">
        <v>214</v>
      </c>
      <c r="C175" s="95" t="s">
        <v>24</v>
      </c>
      <c r="D175" s="96" t="s">
        <v>361</v>
      </c>
      <c r="E175" s="97">
        <v>250</v>
      </c>
      <c r="F175" s="79">
        <v>50</v>
      </c>
      <c r="G175" s="79">
        <v>5</v>
      </c>
      <c r="H175" s="79">
        <v>0</v>
      </c>
      <c r="I175" s="79">
        <v>0</v>
      </c>
      <c r="J175" s="99">
        <f t="shared" si="22"/>
        <v>5</v>
      </c>
      <c r="K175" s="100" t="s">
        <v>359</v>
      </c>
      <c r="L175" s="82"/>
      <c r="M175" s="83">
        <f t="shared" si="19"/>
        <v>0</v>
      </c>
      <c r="N175" s="53"/>
      <c r="O175" s="84" t="s">
        <v>362</v>
      </c>
      <c r="P175" s="102">
        <f t="shared" ref="P175:P176" si="23">J175*E175</f>
        <v>1250</v>
      </c>
      <c r="R175" s="56"/>
    </row>
    <row r="176" spans="2:18" s="24" customFormat="1" ht="15.75" x14ac:dyDescent="0.25">
      <c r="B176" s="94" t="s">
        <v>214</v>
      </c>
      <c r="C176" s="95" t="s">
        <v>24</v>
      </c>
      <c r="D176" s="96" t="s">
        <v>363</v>
      </c>
      <c r="E176" s="97">
        <v>250</v>
      </c>
      <c r="F176" s="79">
        <v>50</v>
      </c>
      <c r="G176" s="79">
        <v>0</v>
      </c>
      <c r="H176" s="79">
        <v>0</v>
      </c>
      <c r="I176" s="79">
        <v>0</v>
      </c>
      <c r="J176" s="99">
        <f t="shared" si="22"/>
        <v>0</v>
      </c>
      <c r="K176" s="100" t="s">
        <v>359</v>
      </c>
      <c r="L176" s="82"/>
      <c r="M176" s="83">
        <f t="shared" si="19"/>
        <v>0</v>
      </c>
      <c r="N176" s="53"/>
      <c r="O176" s="84" t="s">
        <v>364</v>
      </c>
      <c r="P176" s="102">
        <f t="shared" si="23"/>
        <v>0</v>
      </c>
      <c r="R176" s="56"/>
    </row>
    <row r="177" spans="2:18" s="103" customFormat="1" ht="15.75" x14ac:dyDescent="0.25">
      <c r="B177" s="94" t="s">
        <v>214</v>
      </c>
      <c r="C177" s="95" t="s">
        <v>24</v>
      </c>
      <c r="D177" s="96" t="s">
        <v>365</v>
      </c>
      <c r="E177" s="97">
        <v>288</v>
      </c>
      <c r="F177" s="98"/>
      <c r="G177" s="79">
        <v>0</v>
      </c>
      <c r="H177" s="170"/>
      <c r="I177" s="88">
        <v>0</v>
      </c>
      <c r="J177" s="99">
        <f>G177+I177/E177</f>
        <v>0</v>
      </c>
      <c r="K177" s="100" t="s">
        <v>121</v>
      </c>
      <c r="L177" s="82"/>
      <c r="M177" s="83">
        <f t="shared" si="19"/>
        <v>0</v>
      </c>
      <c r="N177" s="53"/>
      <c r="O177" s="84" t="s">
        <v>366</v>
      </c>
      <c r="P177" s="102">
        <f>E177*G177+I177</f>
        <v>0</v>
      </c>
      <c r="Q177" s="24"/>
      <c r="R177" s="56"/>
    </row>
    <row r="178" spans="2:18" s="24" customFormat="1" ht="15.75" x14ac:dyDescent="0.25">
      <c r="B178" s="94" t="s">
        <v>214</v>
      </c>
      <c r="C178" s="95" t="s">
        <v>24</v>
      </c>
      <c r="D178" s="96" t="s">
        <v>367</v>
      </c>
      <c r="E178" s="97">
        <v>250</v>
      </c>
      <c r="F178" s="98"/>
      <c r="G178" s="79">
        <v>9</v>
      </c>
      <c r="H178" s="170"/>
      <c r="I178" s="88">
        <v>119</v>
      </c>
      <c r="J178" s="99">
        <f t="shared" ref="J178:J179" si="24">G178+I178/E178</f>
        <v>9.4759999999999991</v>
      </c>
      <c r="K178" s="100" t="s">
        <v>121</v>
      </c>
      <c r="L178" s="82"/>
      <c r="M178" s="83">
        <f t="shared" si="19"/>
        <v>0</v>
      </c>
      <c r="N178" s="53"/>
      <c r="O178" s="84" t="s">
        <v>368</v>
      </c>
      <c r="P178" s="102">
        <f>I178+H178*F178+G178*E178</f>
        <v>2369</v>
      </c>
      <c r="R178" s="56"/>
    </row>
    <row r="179" spans="2:18" s="24" customFormat="1" ht="15.75" x14ac:dyDescent="0.25">
      <c r="B179" s="94" t="s">
        <v>214</v>
      </c>
      <c r="C179" s="95" t="s">
        <v>24</v>
      </c>
      <c r="D179" s="96" t="s">
        <v>369</v>
      </c>
      <c r="E179" s="97">
        <v>4</v>
      </c>
      <c r="F179" s="98"/>
      <c r="G179" s="79">
        <v>1</v>
      </c>
      <c r="H179" s="170"/>
      <c r="I179" s="88">
        <v>0.75</v>
      </c>
      <c r="J179" s="99">
        <f t="shared" si="24"/>
        <v>1.1875</v>
      </c>
      <c r="K179" s="100" t="s">
        <v>370</v>
      </c>
      <c r="L179" s="82"/>
      <c r="M179" s="83">
        <f t="shared" si="19"/>
        <v>0</v>
      </c>
      <c r="N179" s="53"/>
      <c r="O179" s="84" t="s">
        <v>371</v>
      </c>
      <c r="P179" s="102">
        <f>J179*15.2</f>
        <v>18.05</v>
      </c>
      <c r="R179" s="56"/>
    </row>
    <row r="180" spans="2:18" s="24" customFormat="1" ht="15.75" x14ac:dyDescent="0.25">
      <c r="B180" s="94" t="s">
        <v>221</v>
      </c>
      <c r="C180" s="95" t="s">
        <v>24</v>
      </c>
      <c r="D180" s="96" t="s">
        <v>372</v>
      </c>
      <c r="E180" s="166"/>
      <c r="F180" s="98">
        <v>288</v>
      </c>
      <c r="G180" s="168"/>
      <c r="H180" s="171">
        <v>0</v>
      </c>
      <c r="I180" s="88">
        <v>0</v>
      </c>
      <c r="J180" s="99">
        <f>H180+I180/F180</f>
        <v>0</v>
      </c>
      <c r="K180" s="100" t="s">
        <v>373</v>
      </c>
      <c r="L180" s="82"/>
      <c r="M180" s="83">
        <f t="shared" si="19"/>
        <v>0</v>
      </c>
      <c r="N180" s="53"/>
      <c r="O180" s="84" t="s">
        <v>374</v>
      </c>
      <c r="P180" s="102">
        <f>I180+H180*F180</f>
        <v>0</v>
      </c>
      <c r="R180" s="56"/>
    </row>
    <row r="181" spans="2:18" s="103" customFormat="1" ht="20.100000000000001" customHeight="1" x14ac:dyDescent="0.25">
      <c r="B181" s="172" t="s">
        <v>375</v>
      </c>
      <c r="C181" s="173" t="s">
        <v>24</v>
      </c>
      <c r="D181" s="174" t="s">
        <v>376</v>
      </c>
      <c r="E181" s="175"/>
      <c r="F181" s="176">
        <v>250</v>
      </c>
      <c r="G181" s="177"/>
      <c r="H181" s="178"/>
      <c r="I181" s="179">
        <v>19600</v>
      </c>
      <c r="J181" s="180">
        <f>I181</f>
        <v>19600</v>
      </c>
      <c r="K181" s="181" t="s">
        <v>377</v>
      </c>
      <c r="L181" s="182"/>
      <c r="M181" s="183">
        <f t="shared" si="19"/>
        <v>0</v>
      </c>
      <c r="N181" s="53"/>
      <c r="O181" s="184" t="s">
        <v>378</v>
      </c>
      <c r="P181" s="185">
        <f>J181</f>
        <v>19600</v>
      </c>
      <c r="Q181" s="24"/>
      <c r="R181" s="56"/>
    </row>
    <row r="182" spans="2:18" s="103" customFormat="1" ht="20.100000000000001" customHeight="1" x14ac:dyDescent="0.25">
      <c r="B182" s="172" t="s">
        <v>375</v>
      </c>
      <c r="C182" s="173" t="s">
        <v>24</v>
      </c>
      <c r="D182" s="174" t="s">
        <v>379</v>
      </c>
      <c r="E182" s="175"/>
      <c r="F182" s="186">
        <v>4</v>
      </c>
      <c r="G182" s="177"/>
      <c r="H182" s="178"/>
      <c r="I182" s="179">
        <v>0</v>
      </c>
      <c r="J182" s="180">
        <f>I182</f>
        <v>0</v>
      </c>
      <c r="K182" s="181" t="s">
        <v>380</v>
      </c>
      <c r="L182" s="182"/>
      <c r="M182" s="183">
        <f t="shared" si="19"/>
        <v>0</v>
      </c>
      <c r="N182" s="53"/>
      <c r="O182" s="184" t="s">
        <v>381</v>
      </c>
      <c r="P182" s="185">
        <f>J182</f>
        <v>0</v>
      </c>
      <c r="Q182" s="24"/>
      <c r="R182" s="56"/>
    </row>
    <row r="183" spans="2:18" s="24" customFormat="1" ht="15.75" x14ac:dyDescent="0.25">
      <c r="B183" s="172" t="s">
        <v>375</v>
      </c>
      <c r="C183" s="173" t="s">
        <v>24</v>
      </c>
      <c r="D183" s="174" t="s">
        <v>382</v>
      </c>
      <c r="E183" s="187"/>
      <c r="F183" s="188">
        <v>50</v>
      </c>
      <c r="G183" s="189"/>
      <c r="H183" s="190">
        <v>0</v>
      </c>
      <c r="I183" s="179">
        <v>0</v>
      </c>
      <c r="J183" s="191">
        <f>H183+I183/F183</f>
        <v>0</v>
      </c>
      <c r="K183" s="192" t="s">
        <v>383</v>
      </c>
      <c r="L183" s="182"/>
      <c r="M183" s="183">
        <f t="shared" si="19"/>
        <v>0</v>
      </c>
      <c r="N183" s="53"/>
      <c r="O183" s="193" t="s">
        <v>384</v>
      </c>
      <c r="P183" s="194">
        <f>I183+H183*F183</f>
        <v>0</v>
      </c>
      <c r="R183" s="56"/>
    </row>
    <row r="184" spans="2:18" s="24" customFormat="1" ht="15.75" x14ac:dyDescent="0.25">
      <c r="B184" s="172" t="s">
        <v>375</v>
      </c>
      <c r="C184" s="173" t="s">
        <v>24</v>
      </c>
      <c r="D184" s="174" t="s">
        <v>385</v>
      </c>
      <c r="E184" s="195">
        <v>180</v>
      </c>
      <c r="F184" s="188"/>
      <c r="G184" s="196">
        <v>0</v>
      </c>
      <c r="H184" s="197"/>
      <c r="I184" s="179">
        <v>0</v>
      </c>
      <c r="J184" s="191">
        <f>G184+I184/E184</f>
        <v>0</v>
      </c>
      <c r="K184" s="192" t="s">
        <v>121</v>
      </c>
      <c r="L184" s="182"/>
      <c r="M184" s="183">
        <f t="shared" si="19"/>
        <v>0</v>
      </c>
      <c r="N184" s="53"/>
      <c r="O184" s="193">
        <v>960294</v>
      </c>
      <c r="P184" s="194">
        <f>I184+G184*E184</f>
        <v>0</v>
      </c>
      <c r="R184" s="56"/>
    </row>
    <row r="185" spans="2:18" s="24" customFormat="1" ht="15.75" x14ac:dyDescent="0.25">
      <c r="B185" s="172" t="s">
        <v>375</v>
      </c>
      <c r="C185" s="173" t="s">
        <v>24</v>
      </c>
      <c r="D185" s="174" t="s">
        <v>386</v>
      </c>
      <c r="E185" s="195">
        <v>160</v>
      </c>
      <c r="F185" s="198"/>
      <c r="G185" s="196">
        <v>0</v>
      </c>
      <c r="H185" s="197"/>
      <c r="I185" s="179">
        <v>0</v>
      </c>
      <c r="J185" s="191">
        <f>G185+I185/E185</f>
        <v>0</v>
      </c>
      <c r="K185" s="192" t="s">
        <v>121</v>
      </c>
      <c r="L185" s="182"/>
      <c r="M185" s="183">
        <f t="shared" si="19"/>
        <v>0</v>
      </c>
      <c r="N185" s="53"/>
      <c r="O185" s="193" t="s">
        <v>387</v>
      </c>
      <c r="P185" s="194">
        <f>I185+G185*E185</f>
        <v>0</v>
      </c>
      <c r="R185" s="56"/>
    </row>
    <row r="186" spans="2:18" s="24" customFormat="1" ht="15.75" x14ac:dyDescent="0.25">
      <c r="B186" s="172" t="s">
        <v>375</v>
      </c>
      <c r="C186" s="173" t="s">
        <v>24</v>
      </c>
      <c r="D186" s="174" t="s">
        <v>388</v>
      </c>
      <c r="E186" s="195">
        <v>360</v>
      </c>
      <c r="F186" s="188">
        <v>40</v>
      </c>
      <c r="G186" s="196">
        <v>0</v>
      </c>
      <c r="H186" s="196">
        <v>0</v>
      </c>
      <c r="I186" s="196">
        <v>0</v>
      </c>
      <c r="J186" s="191">
        <f>G186+H186*F186/E186+I186/E186</f>
        <v>0</v>
      </c>
      <c r="K186" s="192" t="s">
        <v>121</v>
      </c>
      <c r="L186" s="182"/>
      <c r="M186" s="183">
        <f t="shared" si="19"/>
        <v>0</v>
      </c>
      <c r="N186" s="53"/>
      <c r="O186" s="193">
        <v>952127</v>
      </c>
      <c r="P186" s="194">
        <f>I186+H186*F186+G186*E186</f>
        <v>0</v>
      </c>
      <c r="R186" s="56"/>
    </row>
    <row r="187" spans="2:18" s="24" customFormat="1" ht="15.75" x14ac:dyDescent="0.25">
      <c r="B187" s="172" t="s">
        <v>375</v>
      </c>
      <c r="C187" s="173" t="s">
        <v>24</v>
      </c>
      <c r="D187" s="174" t="s">
        <v>389</v>
      </c>
      <c r="E187" s="195">
        <v>160</v>
      </c>
      <c r="F187" s="198"/>
      <c r="G187" s="196">
        <v>0</v>
      </c>
      <c r="H187" s="197"/>
      <c r="I187" s="179">
        <v>0</v>
      </c>
      <c r="J187" s="191">
        <f>G187+I187/E187</f>
        <v>0</v>
      </c>
      <c r="K187" s="192" t="s">
        <v>121</v>
      </c>
      <c r="L187" s="182"/>
      <c r="M187" s="183">
        <f t="shared" si="19"/>
        <v>0</v>
      </c>
      <c r="N187" s="53"/>
      <c r="O187" s="193" t="s">
        <v>390</v>
      </c>
      <c r="P187" s="194">
        <f>I187+G187*E187</f>
        <v>0</v>
      </c>
      <c r="R187" s="56"/>
    </row>
    <row r="188" spans="2:18" s="24" customFormat="1" ht="15.75" x14ac:dyDescent="0.25">
      <c r="B188" s="172" t="s">
        <v>375</v>
      </c>
      <c r="C188" s="173" t="s">
        <v>24</v>
      </c>
      <c r="D188" s="174" t="s">
        <v>391</v>
      </c>
      <c r="E188" s="199">
        <v>200</v>
      </c>
      <c r="F188" s="198"/>
      <c r="G188" s="196">
        <v>0</v>
      </c>
      <c r="H188" s="197"/>
      <c r="I188" s="179">
        <v>28</v>
      </c>
      <c r="J188" s="191">
        <f>G188+I188/E188</f>
        <v>0.14000000000000001</v>
      </c>
      <c r="K188" s="192" t="s">
        <v>121</v>
      </c>
      <c r="L188" s="182"/>
      <c r="M188" s="183">
        <f t="shared" si="19"/>
        <v>0</v>
      </c>
      <c r="N188" s="53"/>
      <c r="O188" s="193" t="s">
        <v>392</v>
      </c>
      <c r="P188" s="194">
        <f>I188+G188*E188</f>
        <v>28</v>
      </c>
      <c r="R188" s="56"/>
    </row>
    <row r="189" spans="2:18" s="24" customFormat="1" ht="15.75" x14ac:dyDescent="0.25">
      <c r="B189" s="172" t="s">
        <v>375</v>
      </c>
      <c r="C189" s="173" t="s">
        <v>24</v>
      </c>
      <c r="D189" s="174" t="s">
        <v>393</v>
      </c>
      <c r="E189" s="198"/>
      <c r="F189" s="188">
        <v>50</v>
      </c>
      <c r="G189" s="189"/>
      <c r="H189" s="190">
        <v>0</v>
      </c>
      <c r="I189" s="190">
        <v>0</v>
      </c>
      <c r="J189" s="191">
        <f>H189+I189/F189</f>
        <v>0</v>
      </c>
      <c r="K189" s="192" t="s">
        <v>383</v>
      </c>
      <c r="L189" s="182"/>
      <c r="M189" s="183">
        <f t="shared" si="19"/>
        <v>0</v>
      </c>
      <c r="N189" s="53"/>
      <c r="O189" s="193" t="s">
        <v>394</v>
      </c>
      <c r="P189" s="194">
        <f>I189+H189*F189</f>
        <v>0</v>
      </c>
      <c r="R189" s="56"/>
    </row>
    <row r="190" spans="2:18" s="24" customFormat="1" ht="18.600000000000001" customHeight="1" x14ac:dyDescent="0.25">
      <c r="B190" s="172" t="s">
        <v>375</v>
      </c>
      <c r="C190" s="172" t="s">
        <v>24</v>
      </c>
      <c r="D190" s="174" t="s">
        <v>395</v>
      </c>
      <c r="E190" s="199">
        <v>1000</v>
      </c>
      <c r="F190" s="200"/>
      <c r="G190" s="196">
        <v>0</v>
      </c>
      <c r="H190" s="201"/>
      <c r="I190" s="179">
        <v>644</v>
      </c>
      <c r="J190" s="202">
        <f>I190/E190+G190</f>
        <v>0.64400000000000002</v>
      </c>
      <c r="K190" s="203" t="s">
        <v>18</v>
      </c>
      <c r="L190" s="183"/>
      <c r="M190" s="183">
        <f t="shared" si="19"/>
        <v>0</v>
      </c>
      <c r="N190" s="53"/>
      <c r="O190" s="204" t="s">
        <v>396</v>
      </c>
      <c r="P190" s="205">
        <f>J190*E190</f>
        <v>644</v>
      </c>
      <c r="R190" s="56"/>
    </row>
    <row r="191" spans="2:18" s="24" customFormat="1" ht="15.75" x14ac:dyDescent="0.25">
      <c r="B191" s="172" t="s">
        <v>375</v>
      </c>
      <c r="C191" s="173" t="s">
        <v>24</v>
      </c>
      <c r="D191" s="174" t="s">
        <v>397</v>
      </c>
      <c r="E191" s="195">
        <v>500</v>
      </c>
      <c r="F191" s="198"/>
      <c r="G191" s="196">
        <v>0</v>
      </c>
      <c r="H191" s="197"/>
      <c r="I191" s="179">
        <v>0</v>
      </c>
      <c r="J191" s="191">
        <f>G191+I191/E191</f>
        <v>0</v>
      </c>
      <c r="K191" s="192" t="s">
        <v>121</v>
      </c>
      <c r="L191" s="182"/>
      <c r="M191" s="183">
        <f t="shared" si="19"/>
        <v>0</v>
      </c>
      <c r="N191" s="53"/>
      <c r="O191" s="193">
        <v>779587</v>
      </c>
      <c r="P191" s="194">
        <f>I191+G191*E191</f>
        <v>0</v>
      </c>
      <c r="R191" s="56"/>
    </row>
    <row r="192" spans="2:18" s="24" customFormat="1" ht="15.75" x14ac:dyDescent="0.25">
      <c r="B192" s="172" t="s">
        <v>375</v>
      </c>
      <c r="C192" s="173" t="s">
        <v>24</v>
      </c>
      <c r="D192" s="174" t="s">
        <v>398</v>
      </c>
      <c r="E192" s="195">
        <v>400</v>
      </c>
      <c r="F192" s="198"/>
      <c r="G192" s="196">
        <v>0</v>
      </c>
      <c r="H192" s="197"/>
      <c r="I192" s="179">
        <v>379</v>
      </c>
      <c r="J192" s="191">
        <f>G192+I192/E192</f>
        <v>0.94750000000000001</v>
      </c>
      <c r="K192" s="192" t="s">
        <v>121</v>
      </c>
      <c r="L192" s="182"/>
      <c r="M192" s="183">
        <f t="shared" si="19"/>
        <v>0</v>
      </c>
      <c r="N192" s="53"/>
      <c r="O192" s="193" t="s">
        <v>399</v>
      </c>
      <c r="P192" s="194">
        <f>I192+G192*E192</f>
        <v>379</v>
      </c>
      <c r="R192" s="56"/>
    </row>
    <row r="193" spans="2:18" s="24" customFormat="1" ht="15.75" x14ac:dyDescent="0.25">
      <c r="B193" s="172" t="s">
        <v>375</v>
      </c>
      <c r="C193" s="173" t="s">
        <v>24</v>
      </c>
      <c r="D193" s="174" t="s">
        <v>400</v>
      </c>
      <c r="E193" s="195">
        <v>360</v>
      </c>
      <c r="F193" s="188">
        <v>30</v>
      </c>
      <c r="G193" s="196">
        <v>0</v>
      </c>
      <c r="H193" s="196">
        <v>0</v>
      </c>
      <c r="I193" s="196">
        <v>0</v>
      </c>
      <c r="J193" s="191">
        <f>G193+H193*F193/E193+I193/E193</f>
        <v>0</v>
      </c>
      <c r="K193" s="192" t="s">
        <v>121</v>
      </c>
      <c r="L193" s="182"/>
      <c r="M193" s="183">
        <f t="shared" si="19"/>
        <v>0</v>
      </c>
      <c r="N193" s="53"/>
      <c r="O193" s="193">
        <v>729244</v>
      </c>
      <c r="P193" s="194">
        <f>I193+H193*F193+G193*E193</f>
        <v>0</v>
      </c>
      <c r="R193" s="56"/>
    </row>
    <row r="194" spans="2:18" s="24" customFormat="1" ht="15.75" x14ac:dyDescent="0.25">
      <c r="B194" s="172" t="s">
        <v>375</v>
      </c>
      <c r="C194" s="173" t="s">
        <v>24</v>
      </c>
      <c r="D194" s="174" t="s">
        <v>401</v>
      </c>
      <c r="E194" s="195">
        <v>2000</v>
      </c>
      <c r="F194" s="188">
        <v>100</v>
      </c>
      <c r="G194" s="196">
        <v>0</v>
      </c>
      <c r="H194" s="190">
        <v>3</v>
      </c>
      <c r="I194" s="179">
        <v>89</v>
      </c>
      <c r="J194" s="191">
        <f>G194+H194*F194/E194+I194/E194</f>
        <v>0.19450000000000001</v>
      </c>
      <c r="K194" s="192" t="s">
        <v>121</v>
      </c>
      <c r="L194" s="182"/>
      <c r="M194" s="183">
        <f t="shared" si="19"/>
        <v>0</v>
      </c>
      <c r="N194" s="53"/>
      <c r="O194" s="193">
        <v>916551</v>
      </c>
      <c r="P194" s="194">
        <f t="shared" si="16"/>
        <v>389</v>
      </c>
      <c r="R194" s="56"/>
    </row>
    <row r="195" spans="2:18" s="24" customFormat="1" ht="15.75" x14ac:dyDescent="0.25">
      <c r="B195" s="172" t="s">
        <v>375</v>
      </c>
      <c r="C195" s="173" t="s">
        <v>24</v>
      </c>
      <c r="D195" s="174" t="s">
        <v>402</v>
      </c>
      <c r="E195" s="195">
        <v>2000</v>
      </c>
      <c r="F195" s="188">
        <v>100</v>
      </c>
      <c r="G195" s="196">
        <v>0</v>
      </c>
      <c r="H195" s="196">
        <v>0</v>
      </c>
      <c r="I195" s="196">
        <v>0</v>
      </c>
      <c r="J195" s="191">
        <f t="shared" ref="J195:J208" si="25">G195+H195*F195/E195+I195/E195</f>
        <v>0</v>
      </c>
      <c r="K195" s="192" t="s">
        <v>121</v>
      </c>
      <c r="L195" s="182"/>
      <c r="M195" s="183">
        <f t="shared" si="19"/>
        <v>0</v>
      </c>
      <c r="N195" s="53"/>
      <c r="O195" s="193">
        <v>916544</v>
      </c>
      <c r="P195" s="194">
        <f t="shared" si="16"/>
        <v>0</v>
      </c>
      <c r="R195" s="56"/>
    </row>
    <row r="196" spans="2:18" s="24" customFormat="1" ht="15.75" x14ac:dyDescent="0.25">
      <c r="B196" s="172" t="s">
        <v>375</v>
      </c>
      <c r="C196" s="173" t="s">
        <v>24</v>
      </c>
      <c r="D196" s="174" t="s">
        <v>403</v>
      </c>
      <c r="E196" s="195">
        <v>3750</v>
      </c>
      <c r="F196" s="188">
        <v>150</v>
      </c>
      <c r="G196" s="196">
        <v>0</v>
      </c>
      <c r="H196" s="190">
        <v>2</v>
      </c>
      <c r="I196" s="179">
        <v>105</v>
      </c>
      <c r="J196" s="191">
        <f t="shared" si="25"/>
        <v>0.108</v>
      </c>
      <c r="K196" s="192" t="s">
        <v>121</v>
      </c>
      <c r="L196" s="182"/>
      <c r="M196" s="183">
        <f t="shared" si="19"/>
        <v>0</v>
      </c>
      <c r="N196" s="53"/>
      <c r="O196" s="193" t="s">
        <v>404</v>
      </c>
      <c r="P196" s="194">
        <f t="shared" si="16"/>
        <v>405</v>
      </c>
      <c r="R196" s="56"/>
    </row>
    <row r="197" spans="2:18" s="24" customFormat="1" ht="15.75" x14ac:dyDescent="0.25">
      <c r="B197" s="172" t="s">
        <v>375</v>
      </c>
      <c r="C197" s="173" t="s">
        <v>24</v>
      </c>
      <c r="D197" s="174" t="s">
        <v>405</v>
      </c>
      <c r="E197" s="195">
        <v>1000</v>
      </c>
      <c r="F197" s="188">
        <v>100</v>
      </c>
      <c r="G197" s="196">
        <v>0</v>
      </c>
      <c r="H197" s="196">
        <v>0</v>
      </c>
      <c r="I197" s="196">
        <v>0</v>
      </c>
      <c r="J197" s="191">
        <f t="shared" si="25"/>
        <v>0</v>
      </c>
      <c r="K197" s="192" t="s">
        <v>121</v>
      </c>
      <c r="L197" s="182"/>
      <c r="M197" s="183">
        <f t="shared" si="19"/>
        <v>0</v>
      </c>
      <c r="N197" s="53"/>
      <c r="O197" s="193">
        <v>977967</v>
      </c>
      <c r="P197" s="194">
        <f t="shared" si="16"/>
        <v>0</v>
      </c>
      <c r="R197" s="56"/>
    </row>
    <row r="198" spans="2:18" s="24" customFormat="1" ht="15.75" x14ac:dyDescent="0.25">
      <c r="B198" s="172" t="s">
        <v>375</v>
      </c>
      <c r="C198" s="173" t="s">
        <v>24</v>
      </c>
      <c r="D198" s="174" t="s">
        <v>406</v>
      </c>
      <c r="E198" s="195">
        <v>1000</v>
      </c>
      <c r="F198" s="188">
        <v>100</v>
      </c>
      <c r="G198" s="196">
        <v>0</v>
      </c>
      <c r="H198" s="196">
        <v>0</v>
      </c>
      <c r="I198" s="196">
        <v>0</v>
      </c>
      <c r="J198" s="191">
        <f t="shared" si="25"/>
        <v>0</v>
      </c>
      <c r="K198" s="192" t="s">
        <v>121</v>
      </c>
      <c r="L198" s="182"/>
      <c r="M198" s="183">
        <f t="shared" si="19"/>
        <v>0</v>
      </c>
      <c r="N198" s="53"/>
      <c r="O198" s="193" t="s">
        <v>407</v>
      </c>
      <c r="P198" s="194">
        <f t="shared" si="16"/>
        <v>0</v>
      </c>
      <c r="R198" s="56"/>
    </row>
    <row r="199" spans="2:18" s="24" customFormat="1" ht="15.75" x14ac:dyDescent="0.25">
      <c r="B199" s="172" t="s">
        <v>375</v>
      </c>
      <c r="C199" s="173" t="s">
        <v>24</v>
      </c>
      <c r="D199" s="174" t="s">
        <v>408</v>
      </c>
      <c r="E199" s="195">
        <v>1000</v>
      </c>
      <c r="F199" s="188">
        <v>100</v>
      </c>
      <c r="G199" s="196">
        <v>0</v>
      </c>
      <c r="H199" s="196">
        <v>0</v>
      </c>
      <c r="I199" s="196">
        <v>0</v>
      </c>
      <c r="J199" s="191">
        <f t="shared" si="25"/>
        <v>0</v>
      </c>
      <c r="K199" s="192" t="s">
        <v>121</v>
      </c>
      <c r="L199" s="182"/>
      <c r="M199" s="183">
        <f t="shared" si="19"/>
        <v>0</v>
      </c>
      <c r="N199" s="53"/>
      <c r="O199" s="193">
        <v>669663</v>
      </c>
      <c r="P199" s="194">
        <f t="shared" si="16"/>
        <v>0</v>
      </c>
      <c r="R199" s="56"/>
    </row>
    <row r="200" spans="2:18" s="24" customFormat="1" ht="15.75" x14ac:dyDescent="0.25">
      <c r="B200" s="172" t="s">
        <v>375</v>
      </c>
      <c r="C200" s="173" t="s">
        <v>24</v>
      </c>
      <c r="D200" s="174" t="s">
        <v>409</v>
      </c>
      <c r="E200" s="195">
        <v>1440</v>
      </c>
      <c r="F200" s="188">
        <v>90</v>
      </c>
      <c r="G200" s="196">
        <v>0</v>
      </c>
      <c r="H200" s="196">
        <v>0</v>
      </c>
      <c r="I200" s="196">
        <v>0</v>
      </c>
      <c r="J200" s="191">
        <f t="shared" si="25"/>
        <v>0</v>
      </c>
      <c r="K200" s="192" t="s">
        <v>121</v>
      </c>
      <c r="L200" s="182"/>
      <c r="M200" s="183">
        <f t="shared" si="19"/>
        <v>0</v>
      </c>
      <c r="N200" s="53"/>
      <c r="O200" s="193">
        <v>553778</v>
      </c>
      <c r="P200" s="194">
        <f t="shared" si="16"/>
        <v>0</v>
      </c>
      <c r="R200" s="56"/>
    </row>
    <row r="201" spans="2:18" s="24" customFormat="1" ht="15.75" x14ac:dyDescent="0.25">
      <c r="B201" s="172" t="s">
        <v>375</v>
      </c>
      <c r="C201" s="173" t="s">
        <v>24</v>
      </c>
      <c r="D201" s="174" t="s">
        <v>410</v>
      </c>
      <c r="E201" s="195">
        <v>1000</v>
      </c>
      <c r="F201" s="188">
        <v>500</v>
      </c>
      <c r="G201" s="196">
        <v>0</v>
      </c>
      <c r="H201" s="196">
        <v>0</v>
      </c>
      <c r="I201" s="196">
        <v>0</v>
      </c>
      <c r="J201" s="191">
        <f>G201+H201*F201/E201+I201/E201</f>
        <v>0</v>
      </c>
      <c r="K201" s="192" t="s">
        <v>121</v>
      </c>
      <c r="L201" s="182"/>
      <c r="M201" s="183">
        <f t="shared" si="19"/>
        <v>0</v>
      </c>
      <c r="N201" s="53"/>
      <c r="O201" s="193">
        <v>539163</v>
      </c>
      <c r="P201" s="194">
        <f t="shared" si="16"/>
        <v>0</v>
      </c>
      <c r="R201" s="56"/>
    </row>
    <row r="202" spans="2:18" s="24" customFormat="1" ht="15.75" x14ac:dyDescent="0.25">
      <c r="B202" s="172" t="s">
        <v>375</v>
      </c>
      <c r="C202" s="173" t="s">
        <v>24</v>
      </c>
      <c r="D202" s="174" t="s">
        <v>411</v>
      </c>
      <c r="E202" s="195">
        <v>2000</v>
      </c>
      <c r="F202" s="188">
        <v>100</v>
      </c>
      <c r="G202" s="196">
        <v>0</v>
      </c>
      <c r="H202" s="190">
        <v>4</v>
      </c>
      <c r="I202" s="179">
        <v>45</v>
      </c>
      <c r="J202" s="191">
        <f>G202+H202*F202/E202+I202/E202</f>
        <v>0.2225</v>
      </c>
      <c r="K202" s="192" t="s">
        <v>121</v>
      </c>
      <c r="L202" s="182"/>
      <c r="M202" s="183">
        <f t="shared" si="19"/>
        <v>0</v>
      </c>
      <c r="N202" s="53"/>
      <c r="O202" s="193" t="s">
        <v>412</v>
      </c>
      <c r="P202" s="194">
        <f t="shared" si="16"/>
        <v>445</v>
      </c>
      <c r="R202" s="56"/>
    </row>
    <row r="203" spans="2:18" s="24" customFormat="1" ht="15.75" x14ac:dyDescent="0.25">
      <c r="B203" s="172" t="s">
        <v>375</v>
      </c>
      <c r="C203" s="173" t="s">
        <v>24</v>
      </c>
      <c r="D203" s="174" t="s">
        <v>413</v>
      </c>
      <c r="E203" s="195">
        <v>1440</v>
      </c>
      <c r="F203" s="188">
        <v>72</v>
      </c>
      <c r="G203" s="196">
        <v>0</v>
      </c>
      <c r="H203" s="196">
        <v>0</v>
      </c>
      <c r="I203" s="196">
        <v>0</v>
      </c>
      <c r="J203" s="191">
        <f t="shared" si="25"/>
        <v>0</v>
      </c>
      <c r="K203" s="192" t="s">
        <v>121</v>
      </c>
      <c r="L203" s="182"/>
      <c r="M203" s="183">
        <f t="shared" si="19"/>
        <v>0</v>
      </c>
      <c r="N203" s="53"/>
      <c r="O203" s="193">
        <v>27404</v>
      </c>
      <c r="P203" s="194">
        <f t="shared" ref="P203:P208" si="26">I203+H203*F203+G203*E203</f>
        <v>0</v>
      </c>
      <c r="R203" s="56"/>
    </row>
    <row r="204" spans="2:18" s="24" customFormat="1" ht="15.75" x14ac:dyDescent="0.25">
      <c r="B204" s="172" t="s">
        <v>375</v>
      </c>
      <c r="C204" s="173" t="s">
        <v>24</v>
      </c>
      <c r="D204" s="174" t="s">
        <v>414</v>
      </c>
      <c r="E204" s="195">
        <v>1000</v>
      </c>
      <c r="F204" s="188">
        <v>50</v>
      </c>
      <c r="G204" s="196">
        <v>0</v>
      </c>
      <c r="H204" s="190">
        <v>9</v>
      </c>
      <c r="I204" s="179">
        <v>10</v>
      </c>
      <c r="J204" s="191">
        <f t="shared" si="25"/>
        <v>0.46</v>
      </c>
      <c r="K204" s="192" t="s">
        <v>121</v>
      </c>
      <c r="L204" s="182"/>
      <c r="M204" s="183">
        <f t="shared" si="19"/>
        <v>0</v>
      </c>
      <c r="N204" s="53"/>
      <c r="O204" s="193" t="s">
        <v>415</v>
      </c>
      <c r="P204" s="194">
        <f t="shared" si="26"/>
        <v>460</v>
      </c>
      <c r="R204" s="56"/>
    </row>
    <row r="205" spans="2:18" s="24" customFormat="1" ht="15.75" x14ac:dyDescent="0.25">
      <c r="B205" s="172" t="s">
        <v>375</v>
      </c>
      <c r="C205" s="173" t="s">
        <v>24</v>
      </c>
      <c r="D205" s="174" t="s">
        <v>416</v>
      </c>
      <c r="E205" s="195">
        <v>2250</v>
      </c>
      <c r="F205" s="188">
        <v>90</v>
      </c>
      <c r="G205" s="196">
        <v>0</v>
      </c>
      <c r="H205" s="196">
        <v>0</v>
      </c>
      <c r="I205" s="196">
        <v>0</v>
      </c>
      <c r="J205" s="191">
        <f t="shared" si="25"/>
        <v>0</v>
      </c>
      <c r="K205" s="192" t="s">
        <v>121</v>
      </c>
      <c r="L205" s="182"/>
      <c r="M205" s="183">
        <f t="shared" si="19"/>
        <v>0</v>
      </c>
      <c r="N205" s="53"/>
      <c r="O205" s="193">
        <v>951509</v>
      </c>
      <c r="P205" s="194">
        <f t="shared" si="26"/>
        <v>0</v>
      </c>
      <c r="R205" s="56"/>
    </row>
    <row r="206" spans="2:18" s="24" customFormat="1" ht="15.75" x14ac:dyDescent="0.25">
      <c r="B206" s="172" t="s">
        <v>375</v>
      </c>
      <c r="C206" s="173" t="s">
        <v>24</v>
      </c>
      <c r="D206" s="174" t="s">
        <v>417</v>
      </c>
      <c r="E206" s="195">
        <v>2000</v>
      </c>
      <c r="F206" s="188">
        <v>100</v>
      </c>
      <c r="G206" s="196">
        <v>0</v>
      </c>
      <c r="H206" s="190">
        <v>2</v>
      </c>
      <c r="I206" s="179">
        <v>100</v>
      </c>
      <c r="J206" s="191">
        <f t="shared" si="25"/>
        <v>0.15000000000000002</v>
      </c>
      <c r="K206" s="192" t="s">
        <v>121</v>
      </c>
      <c r="L206" s="182"/>
      <c r="M206" s="183">
        <f t="shared" si="19"/>
        <v>0</v>
      </c>
      <c r="N206" s="53"/>
      <c r="O206" s="193">
        <v>818779</v>
      </c>
      <c r="P206" s="194">
        <f t="shared" si="26"/>
        <v>300</v>
      </c>
      <c r="R206" s="56"/>
    </row>
    <row r="207" spans="2:18" s="24" customFormat="1" ht="15.75" x14ac:dyDescent="0.25">
      <c r="B207" s="172" t="s">
        <v>375</v>
      </c>
      <c r="C207" s="173" t="s">
        <v>24</v>
      </c>
      <c r="D207" s="174" t="s">
        <v>418</v>
      </c>
      <c r="E207" s="195">
        <v>1000</v>
      </c>
      <c r="F207" s="188">
        <v>50</v>
      </c>
      <c r="G207" s="196">
        <v>0</v>
      </c>
      <c r="H207" s="190">
        <v>18</v>
      </c>
      <c r="I207" s="179">
        <v>6</v>
      </c>
      <c r="J207" s="191">
        <f t="shared" si="25"/>
        <v>0.90600000000000003</v>
      </c>
      <c r="K207" s="192" t="s">
        <v>121</v>
      </c>
      <c r="L207" s="182"/>
      <c r="M207" s="183">
        <f t="shared" si="19"/>
        <v>0</v>
      </c>
      <c r="N207" s="53"/>
      <c r="O207" s="193">
        <v>952119</v>
      </c>
      <c r="P207" s="194">
        <f t="shared" si="26"/>
        <v>906</v>
      </c>
      <c r="R207" s="56"/>
    </row>
    <row r="208" spans="2:18" s="24" customFormat="1" ht="15.75" x14ac:dyDescent="0.25">
      <c r="B208" s="172" t="s">
        <v>375</v>
      </c>
      <c r="C208" s="173" t="s">
        <v>24</v>
      </c>
      <c r="D208" s="174" t="s">
        <v>419</v>
      </c>
      <c r="E208" s="195">
        <v>1000</v>
      </c>
      <c r="F208" s="188">
        <v>50</v>
      </c>
      <c r="G208" s="196">
        <v>0</v>
      </c>
      <c r="H208" s="190">
        <v>2</v>
      </c>
      <c r="I208" s="179">
        <v>21</v>
      </c>
      <c r="J208" s="191">
        <f t="shared" si="25"/>
        <v>0.12100000000000001</v>
      </c>
      <c r="K208" s="192" t="s">
        <v>121</v>
      </c>
      <c r="L208" s="182"/>
      <c r="M208" s="183">
        <f t="shared" si="19"/>
        <v>0</v>
      </c>
      <c r="N208" s="53"/>
      <c r="O208" s="193">
        <v>952085</v>
      </c>
      <c r="P208" s="194">
        <f t="shared" si="26"/>
        <v>121</v>
      </c>
      <c r="R208" s="56"/>
    </row>
    <row r="209" spans="2:18" s="24" customFormat="1" ht="15.75" x14ac:dyDescent="0.25">
      <c r="B209" s="172" t="s">
        <v>375</v>
      </c>
      <c r="C209" s="173" t="s">
        <v>24</v>
      </c>
      <c r="D209" s="174" t="s">
        <v>420</v>
      </c>
      <c r="E209" s="195">
        <v>200</v>
      </c>
      <c r="F209" s="206"/>
      <c r="G209" s="196">
        <v>0</v>
      </c>
      <c r="H209" s="197"/>
      <c r="I209" s="179">
        <v>120</v>
      </c>
      <c r="J209" s="191">
        <f>G209+I209/E209</f>
        <v>0.6</v>
      </c>
      <c r="K209" s="192" t="s">
        <v>121</v>
      </c>
      <c r="L209" s="182"/>
      <c r="M209" s="183">
        <f t="shared" si="19"/>
        <v>0</v>
      </c>
      <c r="N209" s="53"/>
      <c r="O209" s="193" t="s">
        <v>421</v>
      </c>
      <c r="P209" s="194">
        <f>I209+G209*E209</f>
        <v>120</v>
      </c>
      <c r="R209" s="56"/>
    </row>
    <row r="210" spans="2:18" s="24" customFormat="1" ht="15.75" x14ac:dyDescent="0.25">
      <c r="B210" s="172" t="s">
        <v>375</v>
      </c>
      <c r="C210" s="173" t="s">
        <v>24</v>
      </c>
      <c r="D210" s="174" t="s">
        <v>422</v>
      </c>
      <c r="E210" s="195">
        <v>600</v>
      </c>
      <c r="F210" s="198"/>
      <c r="G210" s="196">
        <v>0</v>
      </c>
      <c r="H210" s="197"/>
      <c r="I210" s="179">
        <v>0</v>
      </c>
      <c r="J210" s="191">
        <f>G210+I210/E210</f>
        <v>0</v>
      </c>
      <c r="K210" s="192" t="s">
        <v>121</v>
      </c>
      <c r="L210" s="182"/>
      <c r="M210" s="183">
        <f t="shared" ref="M210:M274" si="27">J210*L210</f>
        <v>0</v>
      </c>
      <c r="N210" s="53"/>
      <c r="O210" s="193" t="s">
        <v>423</v>
      </c>
      <c r="P210" s="194">
        <f>I210+G210*E210</f>
        <v>0</v>
      </c>
      <c r="R210" s="56"/>
    </row>
    <row r="211" spans="2:18" s="24" customFormat="1" ht="15.75" x14ac:dyDescent="0.25">
      <c r="B211" s="172" t="s">
        <v>375</v>
      </c>
      <c r="C211" s="173" t="s">
        <v>24</v>
      </c>
      <c r="D211" s="174" t="s">
        <v>424</v>
      </c>
      <c r="E211" s="195">
        <v>250</v>
      </c>
      <c r="F211" s="206"/>
      <c r="G211" s="196">
        <v>0</v>
      </c>
      <c r="H211" s="197"/>
      <c r="I211" s="179">
        <v>0</v>
      </c>
      <c r="J211" s="191">
        <f>I211/E211+G211</f>
        <v>0</v>
      </c>
      <c r="K211" s="192" t="s">
        <v>18</v>
      </c>
      <c r="L211" s="182"/>
      <c r="M211" s="183">
        <f t="shared" si="27"/>
        <v>0</v>
      </c>
      <c r="N211" s="53"/>
      <c r="O211" s="193" t="s">
        <v>425</v>
      </c>
      <c r="P211" s="194">
        <f>I211+G211*E211</f>
        <v>0</v>
      </c>
      <c r="R211" s="56"/>
    </row>
    <row r="212" spans="2:18" s="24" customFormat="1" ht="15.75" x14ac:dyDescent="0.25">
      <c r="B212" s="172" t="s">
        <v>375</v>
      </c>
      <c r="C212" s="173" t="s">
        <v>24</v>
      </c>
      <c r="D212" s="174" t="s">
        <v>426</v>
      </c>
      <c r="E212" s="195">
        <v>500</v>
      </c>
      <c r="F212" s="188">
        <v>100</v>
      </c>
      <c r="G212" s="196">
        <v>0</v>
      </c>
      <c r="H212" s="190">
        <v>0</v>
      </c>
      <c r="I212" s="179">
        <v>85</v>
      </c>
      <c r="J212" s="191">
        <f t="shared" ref="J212" si="28">G212+H212*F212/E212+I212/E212</f>
        <v>0.17</v>
      </c>
      <c r="K212" s="192" t="s">
        <v>121</v>
      </c>
      <c r="L212" s="182"/>
      <c r="M212" s="183">
        <f t="shared" si="27"/>
        <v>0</v>
      </c>
      <c r="N212" s="53"/>
      <c r="O212" s="193" t="s">
        <v>427</v>
      </c>
      <c r="P212" s="194">
        <f>E212*J212</f>
        <v>85</v>
      </c>
      <c r="R212" s="56"/>
    </row>
    <row r="213" spans="2:18" s="24" customFormat="1" ht="15.75" x14ac:dyDescent="0.25">
      <c r="B213" s="172" t="s">
        <v>375</v>
      </c>
      <c r="C213" s="173" t="s">
        <v>24</v>
      </c>
      <c r="D213" s="174" t="s">
        <v>428</v>
      </c>
      <c r="E213" s="207"/>
      <c r="F213" s="188">
        <v>200</v>
      </c>
      <c r="G213" s="189"/>
      <c r="H213" s="190">
        <v>3</v>
      </c>
      <c r="I213" s="179">
        <v>126</v>
      </c>
      <c r="J213" s="191">
        <f>H213+I213/F213</f>
        <v>3.63</v>
      </c>
      <c r="K213" s="192" t="s">
        <v>429</v>
      </c>
      <c r="L213" s="182"/>
      <c r="M213" s="183">
        <f t="shared" si="27"/>
        <v>0</v>
      </c>
      <c r="N213" s="53"/>
      <c r="O213" s="193" t="s">
        <v>430</v>
      </c>
      <c r="P213" s="194">
        <f>J213*F213</f>
        <v>726</v>
      </c>
      <c r="R213" s="56"/>
    </row>
    <row r="214" spans="2:18" s="24" customFormat="1" ht="15.75" x14ac:dyDescent="0.25">
      <c r="B214" s="172" t="s">
        <v>375</v>
      </c>
      <c r="C214" s="173" t="s">
        <v>24</v>
      </c>
      <c r="D214" s="174" t="s">
        <v>431</v>
      </c>
      <c r="E214" s="195">
        <v>3500</v>
      </c>
      <c r="F214" s="188">
        <v>500</v>
      </c>
      <c r="G214" s="196">
        <v>1</v>
      </c>
      <c r="H214" s="190">
        <v>5</v>
      </c>
      <c r="I214" s="179">
        <v>170</v>
      </c>
      <c r="J214" s="191">
        <f>G214+H214*F214/E214+I214/E214</f>
        <v>1.7628571428571429</v>
      </c>
      <c r="K214" s="192" t="s">
        <v>432</v>
      </c>
      <c r="L214" s="182"/>
      <c r="M214" s="183">
        <f t="shared" si="27"/>
        <v>0</v>
      </c>
      <c r="N214" s="53"/>
      <c r="O214" s="193" t="s">
        <v>433</v>
      </c>
      <c r="P214" s="194">
        <f>J214*E214</f>
        <v>6170</v>
      </c>
      <c r="R214" s="56"/>
    </row>
    <row r="215" spans="2:18" s="24" customFormat="1" ht="15.75" x14ac:dyDescent="0.25">
      <c r="B215" s="172" t="s">
        <v>375</v>
      </c>
      <c r="C215" s="173" t="s">
        <v>24</v>
      </c>
      <c r="D215" s="174" t="s">
        <v>434</v>
      </c>
      <c r="E215" s="195">
        <v>100</v>
      </c>
      <c r="F215" s="206"/>
      <c r="G215" s="189"/>
      <c r="H215" s="197"/>
      <c r="I215" s="179">
        <v>240</v>
      </c>
      <c r="J215" s="191">
        <f>I215</f>
        <v>240</v>
      </c>
      <c r="K215" s="192" t="s">
        <v>18</v>
      </c>
      <c r="L215" s="182"/>
      <c r="M215" s="183">
        <f t="shared" si="27"/>
        <v>0</v>
      </c>
      <c r="N215" s="53"/>
      <c r="O215" s="193" t="s">
        <v>435</v>
      </c>
      <c r="P215" s="194">
        <f>I215</f>
        <v>240</v>
      </c>
      <c r="R215" s="56"/>
    </row>
    <row r="216" spans="2:18" s="24" customFormat="1" ht="15.75" x14ac:dyDescent="0.25">
      <c r="B216" s="172" t="s">
        <v>375</v>
      </c>
      <c r="C216" s="173" t="s">
        <v>24</v>
      </c>
      <c r="D216" s="174" t="s">
        <v>436</v>
      </c>
      <c r="E216" s="195">
        <v>480</v>
      </c>
      <c r="F216" s="198"/>
      <c r="G216" s="189"/>
      <c r="H216" s="197"/>
      <c r="I216" s="179">
        <v>200</v>
      </c>
      <c r="J216" s="191">
        <f>I216/E216</f>
        <v>0.41666666666666669</v>
      </c>
      <c r="K216" s="192" t="s">
        <v>18</v>
      </c>
      <c r="L216" s="182"/>
      <c r="M216" s="183">
        <f t="shared" si="27"/>
        <v>0</v>
      </c>
      <c r="N216" s="53"/>
      <c r="O216" s="193">
        <v>818773</v>
      </c>
      <c r="P216" s="194">
        <f t="shared" ref="P216:P279" si="29">I216+G216*E216</f>
        <v>200</v>
      </c>
      <c r="R216" s="56"/>
    </row>
    <row r="217" spans="2:18" s="24" customFormat="1" ht="15.75" x14ac:dyDescent="0.25">
      <c r="B217" s="172" t="s">
        <v>375</v>
      </c>
      <c r="C217" s="173" t="s">
        <v>24</v>
      </c>
      <c r="D217" s="174" t="s">
        <v>437</v>
      </c>
      <c r="E217" s="195">
        <v>250</v>
      </c>
      <c r="F217" s="198"/>
      <c r="G217" s="196">
        <v>3</v>
      </c>
      <c r="H217" s="197"/>
      <c r="I217" s="179">
        <v>18</v>
      </c>
      <c r="J217" s="191">
        <f>G217+I217/E217</f>
        <v>3.0720000000000001</v>
      </c>
      <c r="K217" s="192" t="s">
        <v>121</v>
      </c>
      <c r="L217" s="182"/>
      <c r="M217" s="183">
        <f t="shared" si="27"/>
        <v>0</v>
      </c>
      <c r="N217" s="53"/>
      <c r="O217" s="193">
        <v>25072</v>
      </c>
      <c r="P217" s="194">
        <f t="shared" si="29"/>
        <v>768</v>
      </c>
      <c r="R217" s="56"/>
    </row>
    <row r="218" spans="2:18" s="24" customFormat="1" ht="15.75" x14ac:dyDescent="0.25">
      <c r="B218" s="172" t="s">
        <v>375</v>
      </c>
      <c r="C218" s="173" t="s">
        <v>24</v>
      </c>
      <c r="D218" s="174" t="s">
        <v>438</v>
      </c>
      <c r="E218" s="195">
        <v>1000</v>
      </c>
      <c r="F218" s="198"/>
      <c r="G218" s="196">
        <v>0</v>
      </c>
      <c r="H218" s="197"/>
      <c r="I218" s="179">
        <v>932</v>
      </c>
      <c r="J218" s="191">
        <f>G218+I218/E218</f>
        <v>0.93200000000000005</v>
      </c>
      <c r="K218" s="192" t="s">
        <v>121</v>
      </c>
      <c r="L218" s="182"/>
      <c r="M218" s="183">
        <f t="shared" si="27"/>
        <v>0</v>
      </c>
      <c r="N218" s="53"/>
      <c r="O218" s="193">
        <v>998724</v>
      </c>
      <c r="P218" s="194">
        <f t="shared" si="29"/>
        <v>932</v>
      </c>
      <c r="R218" s="56"/>
    </row>
    <row r="219" spans="2:18" s="24" customFormat="1" ht="15.75" x14ac:dyDescent="0.25">
      <c r="B219" s="172" t="s">
        <v>375</v>
      </c>
      <c r="C219" s="173" t="s">
        <v>24</v>
      </c>
      <c r="D219" s="174" t="s">
        <v>439</v>
      </c>
      <c r="E219" s="195">
        <v>1000</v>
      </c>
      <c r="F219" s="206"/>
      <c r="G219" s="196">
        <v>2</v>
      </c>
      <c r="H219" s="197"/>
      <c r="I219" s="179">
        <v>206</v>
      </c>
      <c r="J219" s="191">
        <f>G219+I219/E219</f>
        <v>2.206</v>
      </c>
      <c r="K219" s="192" t="s">
        <v>121</v>
      </c>
      <c r="L219" s="182"/>
      <c r="M219" s="183">
        <f t="shared" si="27"/>
        <v>0</v>
      </c>
      <c r="N219" s="53"/>
      <c r="O219" s="193">
        <v>998757</v>
      </c>
      <c r="P219" s="194">
        <f t="shared" si="29"/>
        <v>2206</v>
      </c>
      <c r="R219" s="56"/>
    </row>
    <row r="220" spans="2:18" s="24" customFormat="1" ht="15.75" x14ac:dyDescent="0.25">
      <c r="B220" s="172" t="s">
        <v>375</v>
      </c>
      <c r="C220" s="173" t="s">
        <v>24</v>
      </c>
      <c r="D220" s="174" t="s">
        <v>440</v>
      </c>
      <c r="E220" s="195">
        <v>400</v>
      </c>
      <c r="F220" s="206"/>
      <c r="G220" s="196">
        <v>0</v>
      </c>
      <c r="H220" s="197"/>
      <c r="I220" s="179">
        <v>0</v>
      </c>
      <c r="J220" s="191">
        <f>G220+I220/E220</f>
        <v>0</v>
      </c>
      <c r="K220" s="192" t="s">
        <v>121</v>
      </c>
      <c r="L220" s="182"/>
      <c r="M220" s="183">
        <f t="shared" si="27"/>
        <v>0</v>
      </c>
      <c r="N220" s="53"/>
      <c r="O220" s="193" t="s">
        <v>441</v>
      </c>
      <c r="P220" s="194">
        <f t="shared" si="29"/>
        <v>0</v>
      </c>
      <c r="R220" s="56"/>
    </row>
    <row r="221" spans="2:18" s="209" customFormat="1" ht="20.100000000000001" customHeight="1" x14ac:dyDescent="0.25">
      <c r="B221" s="172" t="s">
        <v>375</v>
      </c>
      <c r="C221" s="172" t="s">
        <v>24</v>
      </c>
      <c r="D221" s="174" t="s">
        <v>442</v>
      </c>
      <c r="E221" s="195">
        <v>1000</v>
      </c>
      <c r="F221" s="181"/>
      <c r="G221" s="196">
        <v>0</v>
      </c>
      <c r="H221" s="197"/>
      <c r="I221" s="179">
        <v>329</v>
      </c>
      <c r="J221" s="180">
        <f>G221+I221/E221</f>
        <v>0.32900000000000001</v>
      </c>
      <c r="K221" s="181" t="s">
        <v>121</v>
      </c>
      <c r="L221" s="182"/>
      <c r="M221" s="183">
        <f t="shared" si="27"/>
        <v>0</v>
      </c>
      <c r="N221" s="53"/>
      <c r="O221" s="208" t="s">
        <v>443</v>
      </c>
      <c r="P221" s="194">
        <f t="shared" si="29"/>
        <v>329</v>
      </c>
      <c r="Q221" s="24"/>
      <c r="R221" s="56"/>
    </row>
    <row r="222" spans="2:18" s="24" customFormat="1" ht="15.75" x14ac:dyDescent="0.25">
      <c r="B222" s="172" t="s">
        <v>375</v>
      </c>
      <c r="C222" s="173" t="s">
        <v>24</v>
      </c>
      <c r="D222" s="174" t="s">
        <v>444</v>
      </c>
      <c r="E222" s="195">
        <v>6000</v>
      </c>
      <c r="F222" s="188">
        <v>100</v>
      </c>
      <c r="G222" s="196">
        <v>0</v>
      </c>
      <c r="H222" s="210">
        <v>0</v>
      </c>
      <c r="I222" s="211"/>
      <c r="J222" s="191">
        <f>G222+H222*F222/E222</f>
        <v>0</v>
      </c>
      <c r="K222" s="192" t="s">
        <v>121</v>
      </c>
      <c r="L222" s="182"/>
      <c r="M222" s="183">
        <f t="shared" si="27"/>
        <v>0</v>
      </c>
      <c r="N222" s="53"/>
      <c r="O222" s="193">
        <v>998740</v>
      </c>
      <c r="P222" s="194">
        <f>J222*E222</f>
        <v>0</v>
      </c>
      <c r="R222" s="56"/>
    </row>
    <row r="223" spans="2:18" s="24" customFormat="1" ht="15.75" x14ac:dyDescent="0.25">
      <c r="B223" s="172" t="s">
        <v>375</v>
      </c>
      <c r="C223" s="173" t="s">
        <v>24</v>
      </c>
      <c r="D223" s="174" t="s">
        <v>445</v>
      </c>
      <c r="E223" s="195">
        <v>4000</v>
      </c>
      <c r="F223" s="188">
        <v>100</v>
      </c>
      <c r="G223" s="196">
        <v>2</v>
      </c>
      <c r="H223" s="210">
        <v>22</v>
      </c>
      <c r="I223" s="211"/>
      <c r="J223" s="191">
        <f t="shared" ref="J223:J234" si="30">G223+H223*F223/E223</f>
        <v>2.5499999999999998</v>
      </c>
      <c r="K223" s="192" t="s">
        <v>121</v>
      </c>
      <c r="L223" s="182"/>
      <c r="M223" s="183">
        <f t="shared" si="27"/>
        <v>0</v>
      </c>
      <c r="N223" s="53"/>
      <c r="O223" s="193">
        <v>73101</v>
      </c>
      <c r="P223" s="194">
        <f t="shared" ref="P223:P232" si="31">J223*E223</f>
        <v>10200</v>
      </c>
      <c r="R223" s="56"/>
    </row>
    <row r="224" spans="2:18" s="24" customFormat="1" ht="15.75" x14ac:dyDescent="0.25">
      <c r="B224" s="172" t="s">
        <v>375</v>
      </c>
      <c r="C224" s="173" t="s">
        <v>24</v>
      </c>
      <c r="D224" s="174" t="s">
        <v>446</v>
      </c>
      <c r="E224" s="195">
        <v>5000</v>
      </c>
      <c r="F224" s="188">
        <v>200</v>
      </c>
      <c r="G224" s="196">
        <v>0</v>
      </c>
      <c r="H224" s="210">
        <v>0</v>
      </c>
      <c r="I224" s="211"/>
      <c r="J224" s="191">
        <f t="shared" si="30"/>
        <v>0</v>
      </c>
      <c r="K224" s="192" t="s">
        <v>121</v>
      </c>
      <c r="L224" s="182"/>
      <c r="M224" s="183">
        <f t="shared" si="27"/>
        <v>0</v>
      </c>
      <c r="N224" s="53"/>
      <c r="O224" s="193">
        <v>64472</v>
      </c>
      <c r="P224" s="194">
        <f t="shared" si="31"/>
        <v>0</v>
      </c>
      <c r="R224" s="56"/>
    </row>
    <row r="225" spans="2:18" s="24" customFormat="1" ht="15.75" x14ac:dyDescent="0.25">
      <c r="B225" s="172" t="s">
        <v>375</v>
      </c>
      <c r="C225" s="173" t="s">
        <v>24</v>
      </c>
      <c r="D225" s="174" t="s">
        <v>447</v>
      </c>
      <c r="E225" s="195">
        <v>4000</v>
      </c>
      <c r="F225" s="206"/>
      <c r="G225" s="196">
        <v>0</v>
      </c>
      <c r="H225" s="197"/>
      <c r="I225" s="179">
        <v>3002</v>
      </c>
      <c r="J225" s="191">
        <f>G225+I225/E225</f>
        <v>0.75049999999999994</v>
      </c>
      <c r="K225" s="192" t="s">
        <v>121</v>
      </c>
      <c r="L225" s="182"/>
      <c r="M225" s="183">
        <f t="shared" si="27"/>
        <v>0</v>
      </c>
      <c r="N225" s="53"/>
      <c r="O225" s="193" t="s">
        <v>448</v>
      </c>
      <c r="P225" s="194">
        <f t="shared" si="31"/>
        <v>3002</v>
      </c>
      <c r="R225" s="56"/>
    </row>
    <row r="226" spans="2:18" s="24" customFormat="1" ht="15.75" x14ac:dyDescent="0.25">
      <c r="B226" s="172" t="s">
        <v>375</v>
      </c>
      <c r="C226" s="173" t="s">
        <v>24</v>
      </c>
      <c r="D226" s="174" t="s">
        <v>449</v>
      </c>
      <c r="E226" s="195">
        <v>4000</v>
      </c>
      <c r="F226" s="188">
        <v>100</v>
      </c>
      <c r="G226" s="196">
        <v>0</v>
      </c>
      <c r="H226" s="190">
        <v>0</v>
      </c>
      <c r="I226" s="211"/>
      <c r="J226" s="191">
        <f t="shared" si="30"/>
        <v>0</v>
      </c>
      <c r="K226" s="192" t="s">
        <v>121</v>
      </c>
      <c r="L226" s="182"/>
      <c r="M226" s="183">
        <f t="shared" si="27"/>
        <v>0</v>
      </c>
      <c r="N226" s="53"/>
      <c r="O226" s="193">
        <v>962076</v>
      </c>
      <c r="P226" s="194">
        <f t="shared" si="31"/>
        <v>0</v>
      </c>
      <c r="R226" s="56"/>
    </row>
    <row r="227" spans="2:18" s="24" customFormat="1" ht="15.75" x14ac:dyDescent="0.25">
      <c r="B227" s="172" t="s">
        <v>375</v>
      </c>
      <c r="C227" s="173" t="s">
        <v>24</v>
      </c>
      <c r="D227" s="174" t="s">
        <v>450</v>
      </c>
      <c r="E227" s="195">
        <v>3000</v>
      </c>
      <c r="F227" s="188">
        <v>100</v>
      </c>
      <c r="G227" s="196">
        <v>0</v>
      </c>
      <c r="H227" s="190">
        <v>9</v>
      </c>
      <c r="I227" s="211"/>
      <c r="J227" s="191">
        <f>G227+H227*F227/E227</f>
        <v>0.3</v>
      </c>
      <c r="K227" s="192" t="s">
        <v>121</v>
      </c>
      <c r="L227" s="182"/>
      <c r="M227" s="183">
        <f t="shared" si="27"/>
        <v>0</v>
      </c>
      <c r="N227" s="53"/>
      <c r="O227" s="193" t="s">
        <v>451</v>
      </c>
      <c r="P227" s="194">
        <f t="shared" si="31"/>
        <v>900</v>
      </c>
      <c r="R227" s="56"/>
    </row>
    <row r="228" spans="2:18" s="24" customFormat="1" ht="15.75" x14ac:dyDescent="0.25">
      <c r="B228" s="172" t="s">
        <v>375</v>
      </c>
      <c r="C228" s="173" t="s">
        <v>24</v>
      </c>
      <c r="D228" s="174" t="s">
        <v>452</v>
      </c>
      <c r="E228" s="195">
        <v>3600</v>
      </c>
      <c r="F228" s="188">
        <v>100</v>
      </c>
      <c r="G228" s="196">
        <v>0</v>
      </c>
      <c r="H228" s="190">
        <v>0</v>
      </c>
      <c r="I228" s="211"/>
      <c r="J228" s="191">
        <f t="shared" si="30"/>
        <v>0</v>
      </c>
      <c r="K228" s="192" t="s">
        <v>121</v>
      </c>
      <c r="L228" s="182"/>
      <c r="M228" s="183">
        <f t="shared" si="27"/>
        <v>0</v>
      </c>
      <c r="N228" s="53"/>
      <c r="O228" s="193">
        <v>962092</v>
      </c>
      <c r="P228" s="194">
        <f t="shared" si="31"/>
        <v>0</v>
      </c>
      <c r="R228" s="56"/>
    </row>
    <row r="229" spans="2:18" s="24" customFormat="1" ht="15.75" x14ac:dyDescent="0.25">
      <c r="B229" s="172" t="s">
        <v>375</v>
      </c>
      <c r="C229" s="173" t="s">
        <v>24</v>
      </c>
      <c r="D229" s="174" t="s">
        <v>453</v>
      </c>
      <c r="E229" s="187"/>
      <c r="F229" s="188">
        <v>100</v>
      </c>
      <c r="G229" s="189"/>
      <c r="H229" s="190">
        <v>0</v>
      </c>
      <c r="I229" s="179">
        <v>0</v>
      </c>
      <c r="J229" s="191">
        <f>H229+I229/F229</f>
        <v>0</v>
      </c>
      <c r="K229" s="192" t="s">
        <v>15</v>
      </c>
      <c r="L229" s="182"/>
      <c r="M229" s="183">
        <f t="shared" si="27"/>
        <v>0</v>
      </c>
      <c r="N229" s="53"/>
      <c r="O229" s="193" t="s">
        <v>454</v>
      </c>
      <c r="P229" s="194">
        <f>J229*F229</f>
        <v>0</v>
      </c>
      <c r="R229" s="56"/>
    </row>
    <row r="230" spans="2:18" s="24" customFormat="1" ht="15.75" x14ac:dyDescent="0.25">
      <c r="B230" s="172" t="s">
        <v>375</v>
      </c>
      <c r="C230" s="173" t="s">
        <v>24</v>
      </c>
      <c r="D230" s="174" t="s">
        <v>455</v>
      </c>
      <c r="E230" s="195">
        <v>2000</v>
      </c>
      <c r="F230" s="198"/>
      <c r="G230" s="196">
        <v>0</v>
      </c>
      <c r="H230" s="197"/>
      <c r="I230" s="179">
        <v>0</v>
      </c>
      <c r="J230" s="191">
        <f>G230+I230/E230</f>
        <v>0</v>
      </c>
      <c r="K230" s="192" t="s">
        <v>121</v>
      </c>
      <c r="L230" s="182"/>
      <c r="M230" s="183">
        <f t="shared" si="27"/>
        <v>0</v>
      </c>
      <c r="N230" s="53"/>
      <c r="O230" s="193" t="s">
        <v>456</v>
      </c>
      <c r="P230" s="194">
        <f t="shared" si="31"/>
        <v>0</v>
      </c>
      <c r="R230" s="56"/>
    </row>
    <row r="231" spans="2:18" s="24" customFormat="1" ht="15.75" x14ac:dyDescent="0.25">
      <c r="B231" s="172" t="s">
        <v>375</v>
      </c>
      <c r="C231" s="173" t="s">
        <v>24</v>
      </c>
      <c r="D231" s="174" t="s">
        <v>457</v>
      </c>
      <c r="E231" s="195">
        <v>4000</v>
      </c>
      <c r="F231" s="198"/>
      <c r="G231" s="196">
        <v>0</v>
      </c>
      <c r="H231" s="197"/>
      <c r="I231" s="179">
        <v>1800</v>
      </c>
      <c r="J231" s="191">
        <f>G231+I231/E231</f>
        <v>0.45</v>
      </c>
      <c r="K231" s="192" t="s">
        <v>121</v>
      </c>
      <c r="L231" s="182"/>
      <c r="M231" s="183">
        <f t="shared" si="27"/>
        <v>0</v>
      </c>
      <c r="N231" s="53"/>
      <c r="O231" s="193" t="s">
        <v>456</v>
      </c>
      <c r="P231" s="194">
        <f t="shared" si="31"/>
        <v>1800</v>
      </c>
      <c r="R231" s="56"/>
    </row>
    <row r="232" spans="2:18" s="24" customFormat="1" ht="15.75" x14ac:dyDescent="0.25">
      <c r="B232" s="172" t="s">
        <v>375</v>
      </c>
      <c r="C232" s="173" t="s">
        <v>24</v>
      </c>
      <c r="D232" s="174" t="s">
        <v>458</v>
      </c>
      <c r="E232" s="195">
        <v>800</v>
      </c>
      <c r="F232" s="198"/>
      <c r="G232" s="196">
        <v>0</v>
      </c>
      <c r="H232" s="197"/>
      <c r="I232" s="179">
        <v>0</v>
      </c>
      <c r="J232" s="191">
        <f>G232+I232/E232</f>
        <v>0</v>
      </c>
      <c r="K232" s="192" t="s">
        <v>121</v>
      </c>
      <c r="L232" s="182"/>
      <c r="M232" s="183">
        <f t="shared" si="27"/>
        <v>0</v>
      </c>
      <c r="N232" s="212"/>
      <c r="O232" s="193" t="s">
        <v>459</v>
      </c>
      <c r="P232" s="194">
        <f t="shared" si="31"/>
        <v>0</v>
      </c>
      <c r="R232" s="56"/>
    </row>
    <row r="233" spans="2:18" s="24" customFormat="1" ht="15.75" x14ac:dyDescent="0.25">
      <c r="B233" s="172" t="s">
        <v>375</v>
      </c>
      <c r="C233" s="173" t="s">
        <v>24</v>
      </c>
      <c r="D233" s="174" t="s">
        <v>460</v>
      </c>
      <c r="E233" s="195">
        <v>1750</v>
      </c>
      <c r="F233" s="188">
        <v>50</v>
      </c>
      <c r="G233" s="196">
        <v>0</v>
      </c>
      <c r="H233" s="190">
        <v>9.5</v>
      </c>
      <c r="I233" s="211"/>
      <c r="J233" s="191">
        <f t="shared" si="30"/>
        <v>0.27142857142857141</v>
      </c>
      <c r="K233" s="192" t="s">
        <v>121</v>
      </c>
      <c r="L233" s="182"/>
      <c r="M233" s="183">
        <f t="shared" si="27"/>
        <v>0</v>
      </c>
      <c r="N233" s="53"/>
      <c r="O233" s="193" t="s">
        <v>461</v>
      </c>
      <c r="P233" s="194">
        <f>J233*E233</f>
        <v>474.99999999999994</v>
      </c>
      <c r="R233" s="56"/>
    </row>
    <row r="234" spans="2:18" s="24" customFormat="1" ht="15.75" x14ac:dyDescent="0.25">
      <c r="B234" s="172" t="s">
        <v>375</v>
      </c>
      <c r="C234" s="173" t="s">
        <v>24</v>
      </c>
      <c r="D234" s="174" t="s">
        <v>462</v>
      </c>
      <c r="E234" s="195">
        <v>4800</v>
      </c>
      <c r="F234" s="188">
        <v>200</v>
      </c>
      <c r="G234" s="196">
        <v>0</v>
      </c>
      <c r="H234" s="190">
        <v>0</v>
      </c>
      <c r="I234" s="211"/>
      <c r="J234" s="191">
        <f t="shared" si="30"/>
        <v>0</v>
      </c>
      <c r="K234" s="192" t="s">
        <v>121</v>
      </c>
      <c r="L234" s="182"/>
      <c r="M234" s="183">
        <f t="shared" si="27"/>
        <v>0</v>
      </c>
      <c r="N234" s="53"/>
      <c r="O234" s="193" t="s">
        <v>463</v>
      </c>
      <c r="P234" s="194">
        <f t="shared" si="29"/>
        <v>0</v>
      </c>
      <c r="R234" s="56"/>
    </row>
    <row r="235" spans="2:18" s="24" customFormat="1" ht="15.75" x14ac:dyDescent="0.25">
      <c r="B235" s="172" t="s">
        <v>375</v>
      </c>
      <c r="C235" s="173" t="s">
        <v>24</v>
      </c>
      <c r="D235" s="174" t="s">
        <v>464</v>
      </c>
      <c r="E235" s="195">
        <v>3600</v>
      </c>
      <c r="F235" s="188">
        <v>100</v>
      </c>
      <c r="G235" s="196">
        <v>1</v>
      </c>
      <c r="H235" s="190">
        <v>31</v>
      </c>
      <c r="I235" s="211"/>
      <c r="J235" s="191">
        <f>G235+H235*F235/E235</f>
        <v>1.8611111111111112</v>
      </c>
      <c r="K235" s="192" t="s">
        <v>121</v>
      </c>
      <c r="L235" s="182"/>
      <c r="M235" s="183">
        <f t="shared" si="27"/>
        <v>0</v>
      </c>
      <c r="N235" s="53"/>
      <c r="O235" s="193" t="s">
        <v>465</v>
      </c>
      <c r="P235" s="194">
        <f>J235*E235</f>
        <v>6700</v>
      </c>
      <c r="R235" s="56"/>
    </row>
    <row r="236" spans="2:18" s="158" customFormat="1" ht="15.75" x14ac:dyDescent="0.25">
      <c r="B236" s="213" t="s">
        <v>375</v>
      </c>
      <c r="C236" s="214" t="s">
        <v>24</v>
      </c>
      <c r="D236" s="215" t="s">
        <v>466</v>
      </c>
      <c r="E236" s="216">
        <v>900</v>
      </c>
      <c r="F236" s="217">
        <v>100</v>
      </c>
      <c r="G236" s="196">
        <v>0</v>
      </c>
      <c r="H236" s="190">
        <v>0</v>
      </c>
      <c r="I236" s="211"/>
      <c r="J236" s="218">
        <f>G236+H236*F236/E236</f>
        <v>0</v>
      </c>
      <c r="K236" s="219" t="s">
        <v>121</v>
      </c>
      <c r="L236" s="220"/>
      <c r="M236" s="183">
        <f t="shared" si="27"/>
        <v>0</v>
      </c>
      <c r="N236" s="155"/>
      <c r="O236" s="221" t="s">
        <v>467</v>
      </c>
      <c r="P236" s="222">
        <f>J236*E236</f>
        <v>0</v>
      </c>
      <c r="Q236" s="24"/>
      <c r="R236" s="56"/>
    </row>
    <row r="237" spans="2:18" s="24" customFormat="1" ht="15.75" x14ac:dyDescent="0.25">
      <c r="B237" s="172" t="s">
        <v>375</v>
      </c>
      <c r="C237" s="173" t="s">
        <v>24</v>
      </c>
      <c r="D237" s="174" t="s">
        <v>468</v>
      </c>
      <c r="E237" s="195">
        <v>500</v>
      </c>
      <c r="F237" s="206"/>
      <c r="G237" s="196">
        <v>3.25</v>
      </c>
      <c r="H237" s="197"/>
      <c r="I237" s="179">
        <v>0</v>
      </c>
      <c r="J237" s="191">
        <f>G237+I237/E237</f>
        <v>3.25</v>
      </c>
      <c r="K237" s="192" t="s">
        <v>469</v>
      </c>
      <c r="L237" s="182"/>
      <c r="M237" s="183">
        <f t="shared" si="27"/>
        <v>0</v>
      </c>
      <c r="N237" s="53"/>
      <c r="O237" s="193" t="s">
        <v>470</v>
      </c>
      <c r="P237" s="194">
        <f>I237+G237*E237</f>
        <v>1625</v>
      </c>
      <c r="R237" s="56"/>
    </row>
    <row r="238" spans="2:18" s="24" customFormat="1" ht="15.75" x14ac:dyDescent="0.25">
      <c r="B238" s="172" t="s">
        <v>375</v>
      </c>
      <c r="C238" s="173" t="s">
        <v>24</v>
      </c>
      <c r="D238" s="174" t="s">
        <v>471</v>
      </c>
      <c r="E238" s="195">
        <v>400</v>
      </c>
      <c r="F238" s="206"/>
      <c r="G238" s="196">
        <v>0</v>
      </c>
      <c r="H238" s="197"/>
      <c r="I238" s="179">
        <v>0</v>
      </c>
      <c r="J238" s="191">
        <f>G238+I238/E238</f>
        <v>0</v>
      </c>
      <c r="K238" s="192" t="s">
        <v>121</v>
      </c>
      <c r="L238" s="182"/>
      <c r="M238" s="183">
        <f t="shared" si="27"/>
        <v>0</v>
      </c>
      <c r="N238" s="53"/>
      <c r="O238" s="193" t="s">
        <v>472</v>
      </c>
      <c r="P238" s="194">
        <f>I238+G238*E238</f>
        <v>0</v>
      </c>
      <c r="R238" s="56"/>
    </row>
    <row r="239" spans="2:18" s="24" customFormat="1" ht="15.75" x14ac:dyDescent="0.25">
      <c r="B239" s="172" t="s">
        <v>375</v>
      </c>
      <c r="C239" s="173" t="s">
        <v>24</v>
      </c>
      <c r="D239" s="174" t="s">
        <v>473</v>
      </c>
      <c r="E239" s="195">
        <v>240</v>
      </c>
      <c r="F239" s="206"/>
      <c r="G239" s="196">
        <v>0</v>
      </c>
      <c r="H239" s="197"/>
      <c r="I239" s="179">
        <v>0</v>
      </c>
      <c r="J239" s="191">
        <f t="shared" ref="J239:J240" si="32">G239+I239/E239</f>
        <v>0</v>
      </c>
      <c r="K239" s="192" t="s">
        <v>121</v>
      </c>
      <c r="L239" s="182"/>
      <c r="M239" s="183">
        <f t="shared" si="27"/>
        <v>0</v>
      </c>
      <c r="N239" s="53"/>
      <c r="O239" s="193" t="s">
        <v>474</v>
      </c>
      <c r="P239" s="194">
        <f t="shared" si="29"/>
        <v>0</v>
      </c>
      <c r="R239" s="56"/>
    </row>
    <row r="240" spans="2:18" s="158" customFormat="1" ht="15.75" x14ac:dyDescent="0.25">
      <c r="B240" s="223" t="s">
        <v>375</v>
      </c>
      <c r="C240" s="224" t="s">
        <v>24</v>
      </c>
      <c r="D240" s="225" t="s">
        <v>475</v>
      </c>
      <c r="E240" s="226">
        <v>240</v>
      </c>
      <c r="F240" s="227"/>
      <c r="G240" s="196">
        <v>0</v>
      </c>
      <c r="H240" s="228"/>
      <c r="I240" s="179">
        <v>0</v>
      </c>
      <c r="J240" s="229">
        <f t="shared" si="32"/>
        <v>0</v>
      </c>
      <c r="K240" s="230" t="s">
        <v>121</v>
      </c>
      <c r="L240" s="231"/>
      <c r="M240" s="183">
        <f t="shared" si="27"/>
        <v>0</v>
      </c>
      <c r="N240" s="155"/>
      <c r="O240" s="232" t="s">
        <v>476</v>
      </c>
      <c r="P240" s="233">
        <f t="shared" si="29"/>
        <v>0</v>
      </c>
      <c r="Q240" s="24"/>
      <c r="R240" s="56"/>
    </row>
    <row r="241" spans="2:18" s="24" customFormat="1" ht="15.75" x14ac:dyDescent="0.25">
      <c r="B241" s="172" t="s">
        <v>375</v>
      </c>
      <c r="C241" s="173" t="s">
        <v>24</v>
      </c>
      <c r="D241" s="174" t="s">
        <v>477</v>
      </c>
      <c r="E241" s="195">
        <v>1380</v>
      </c>
      <c r="F241" s="188">
        <v>60</v>
      </c>
      <c r="G241" s="196">
        <v>0</v>
      </c>
      <c r="H241" s="196">
        <v>0</v>
      </c>
      <c r="I241" s="196">
        <v>0</v>
      </c>
      <c r="J241" s="191">
        <f t="shared" ref="J241:J257" si="33">G241+H241*F241/E241+I241/E241</f>
        <v>0</v>
      </c>
      <c r="K241" s="192" t="s">
        <v>121</v>
      </c>
      <c r="L241" s="182"/>
      <c r="M241" s="183">
        <f t="shared" si="27"/>
        <v>0</v>
      </c>
      <c r="N241" s="53"/>
      <c r="O241" s="193">
        <v>52659</v>
      </c>
      <c r="P241" s="194">
        <f t="shared" si="29"/>
        <v>0</v>
      </c>
      <c r="R241" s="56"/>
    </row>
    <row r="242" spans="2:18" s="24" customFormat="1" ht="15.75" x14ac:dyDescent="0.25">
      <c r="B242" s="172" t="s">
        <v>375</v>
      </c>
      <c r="C242" s="173" t="s">
        <v>24</v>
      </c>
      <c r="D242" s="174" t="s">
        <v>478</v>
      </c>
      <c r="E242" s="195">
        <v>1250</v>
      </c>
      <c r="F242" s="188">
        <v>50</v>
      </c>
      <c r="G242" s="196">
        <v>0</v>
      </c>
      <c r="H242" s="196">
        <v>0</v>
      </c>
      <c r="I242" s="196">
        <v>0</v>
      </c>
      <c r="J242" s="191">
        <f t="shared" si="33"/>
        <v>0</v>
      </c>
      <c r="K242" s="192" t="s">
        <v>121</v>
      </c>
      <c r="L242" s="182"/>
      <c r="M242" s="183">
        <f t="shared" si="27"/>
        <v>0</v>
      </c>
      <c r="N242" s="53"/>
      <c r="O242" s="193" t="s">
        <v>479</v>
      </c>
      <c r="P242" s="194">
        <f t="shared" si="29"/>
        <v>0</v>
      </c>
      <c r="R242" s="56"/>
    </row>
    <row r="243" spans="2:18" s="24" customFormat="1" ht="15.75" x14ac:dyDescent="0.25">
      <c r="B243" s="172" t="s">
        <v>375</v>
      </c>
      <c r="C243" s="173" t="s">
        <v>24</v>
      </c>
      <c r="D243" s="174" t="s">
        <v>480</v>
      </c>
      <c r="E243" s="195">
        <v>1050</v>
      </c>
      <c r="F243" s="188">
        <v>30</v>
      </c>
      <c r="G243" s="196">
        <v>0</v>
      </c>
      <c r="H243" s="196">
        <v>0</v>
      </c>
      <c r="I243" s="196">
        <v>0</v>
      </c>
      <c r="J243" s="191">
        <f t="shared" si="33"/>
        <v>0</v>
      </c>
      <c r="K243" s="192" t="s">
        <v>121</v>
      </c>
      <c r="L243" s="182"/>
      <c r="M243" s="183">
        <f t="shared" si="27"/>
        <v>0</v>
      </c>
      <c r="N243" s="53"/>
      <c r="O243" s="193" t="s">
        <v>481</v>
      </c>
      <c r="P243" s="194">
        <f t="shared" si="29"/>
        <v>0</v>
      </c>
      <c r="R243" s="56"/>
    </row>
    <row r="244" spans="2:18" s="24" customFormat="1" ht="15.75" x14ac:dyDescent="0.25">
      <c r="B244" s="172" t="s">
        <v>375</v>
      </c>
      <c r="C244" s="173" t="s">
        <v>24</v>
      </c>
      <c r="D244" s="174" t="s">
        <v>482</v>
      </c>
      <c r="E244" s="195">
        <v>800</v>
      </c>
      <c r="F244" s="188">
        <v>40</v>
      </c>
      <c r="G244" s="196">
        <v>0</v>
      </c>
      <c r="H244" s="196">
        <v>0</v>
      </c>
      <c r="I244" s="196">
        <v>0</v>
      </c>
      <c r="J244" s="191">
        <f t="shared" si="33"/>
        <v>0</v>
      </c>
      <c r="K244" s="192" t="s">
        <v>121</v>
      </c>
      <c r="L244" s="182"/>
      <c r="M244" s="183">
        <f t="shared" si="27"/>
        <v>0</v>
      </c>
      <c r="N244" s="53"/>
      <c r="O244" s="193">
        <v>11572</v>
      </c>
      <c r="P244" s="194">
        <f t="shared" si="29"/>
        <v>0</v>
      </c>
      <c r="R244" s="56"/>
    </row>
    <row r="245" spans="2:18" s="24" customFormat="1" ht="15.75" x14ac:dyDescent="0.25">
      <c r="B245" s="172" t="s">
        <v>375</v>
      </c>
      <c r="C245" s="173" t="s">
        <v>24</v>
      </c>
      <c r="D245" s="174" t="s">
        <v>483</v>
      </c>
      <c r="E245" s="195">
        <v>2000</v>
      </c>
      <c r="F245" s="188">
        <v>80</v>
      </c>
      <c r="G245" s="196">
        <v>0</v>
      </c>
      <c r="H245" s="196">
        <v>0</v>
      </c>
      <c r="I245" s="196">
        <v>0</v>
      </c>
      <c r="J245" s="191">
        <f t="shared" si="33"/>
        <v>0</v>
      </c>
      <c r="K245" s="192" t="s">
        <v>121</v>
      </c>
      <c r="L245" s="182"/>
      <c r="M245" s="183">
        <f t="shared" si="27"/>
        <v>0</v>
      </c>
      <c r="N245" s="53"/>
      <c r="O245" s="193">
        <v>957464</v>
      </c>
      <c r="P245" s="194">
        <f>J245*E245</f>
        <v>0</v>
      </c>
      <c r="R245" s="56"/>
    </row>
    <row r="246" spans="2:18" s="24" customFormat="1" ht="15.75" x14ac:dyDescent="0.25">
      <c r="B246" s="172" t="s">
        <v>375</v>
      </c>
      <c r="C246" s="173" t="s">
        <v>24</v>
      </c>
      <c r="D246" s="174" t="s">
        <v>484</v>
      </c>
      <c r="E246" s="195">
        <v>3000</v>
      </c>
      <c r="F246" s="188">
        <v>1000</v>
      </c>
      <c r="G246" s="196">
        <v>0</v>
      </c>
      <c r="H246" s="190">
        <v>1.05</v>
      </c>
      <c r="I246" s="179">
        <v>0</v>
      </c>
      <c r="J246" s="191">
        <f t="shared" si="33"/>
        <v>0.35</v>
      </c>
      <c r="K246" s="192" t="s">
        <v>121</v>
      </c>
      <c r="L246" s="182"/>
      <c r="M246" s="183">
        <f t="shared" si="27"/>
        <v>0</v>
      </c>
      <c r="N246" s="53"/>
      <c r="O246" s="193">
        <v>2803</v>
      </c>
      <c r="P246" s="194">
        <f>J246*E246</f>
        <v>1050</v>
      </c>
      <c r="R246" s="56"/>
    </row>
    <row r="247" spans="2:18" s="24" customFormat="1" ht="15.75" x14ac:dyDescent="0.25">
      <c r="B247" s="172" t="s">
        <v>375</v>
      </c>
      <c r="C247" s="173" t="s">
        <v>24</v>
      </c>
      <c r="D247" s="174" t="s">
        <v>485</v>
      </c>
      <c r="E247" s="195">
        <v>5000</v>
      </c>
      <c r="F247" s="188">
        <v>1000</v>
      </c>
      <c r="G247" s="196">
        <v>0</v>
      </c>
      <c r="H247" s="196">
        <v>0</v>
      </c>
      <c r="I247" s="196">
        <v>0</v>
      </c>
      <c r="J247" s="191">
        <f t="shared" si="33"/>
        <v>0</v>
      </c>
      <c r="K247" s="192" t="s">
        <v>121</v>
      </c>
      <c r="L247" s="182"/>
      <c r="M247" s="183">
        <f t="shared" si="27"/>
        <v>0</v>
      </c>
      <c r="N247" s="53"/>
      <c r="O247" s="193">
        <v>2761</v>
      </c>
      <c r="P247" s="194">
        <f t="shared" ref="P247:P258" si="34">J247*E247</f>
        <v>0</v>
      </c>
      <c r="R247" s="56"/>
    </row>
    <row r="248" spans="2:18" s="24" customFormat="1" ht="15.75" x14ac:dyDescent="0.25">
      <c r="B248" s="172" t="s">
        <v>375</v>
      </c>
      <c r="C248" s="173" t="s">
        <v>24</v>
      </c>
      <c r="D248" s="174" t="s">
        <v>486</v>
      </c>
      <c r="E248" s="195">
        <v>2000</v>
      </c>
      <c r="F248" s="188">
        <v>1000</v>
      </c>
      <c r="G248" s="196">
        <v>0</v>
      </c>
      <c r="H248" s="196">
        <v>0</v>
      </c>
      <c r="I248" s="196">
        <v>0</v>
      </c>
      <c r="J248" s="191">
        <f t="shared" si="33"/>
        <v>0</v>
      </c>
      <c r="K248" s="192" t="s">
        <v>121</v>
      </c>
      <c r="L248" s="182"/>
      <c r="M248" s="183">
        <f t="shared" si="27"/>
        <v>0</v>
      </c>
      <c r="N248" s="53"/>
      <c r="O248" s="193" t="s">
        <v>487</v>
      </c>
      <c r="P248" s="194">
        <f t="shared" si="34"/>
        <v>0</v>
      </c>
      <c r="R248" s="56"/>
    </row>
    <row r="249" spans="2:18" s="24" customFormat="1" ht="15.75" x14ac:dyDescent="0.25">
      <c r="B249" s="172" t="s">
        <v>375</v>
      </c>
      <c r="C249" s="173" t="s">
        <v>24</v>
      </c>
      <c r="D249" s="174" t="s">
        <v>488</v>
      </c>
      <c r="E249" s="195">
        <v>6000</v>
      </c>
      <c r="F249" s="188">
        <v>1000</v>
      </c>
      <c r="G249" s="196">
        <v>0</v>
      </c>
      <c r="H249" s="196">
        <v>0</v>
      </c>
      <c r="I249" s="196">
        <v>0</v>
      </c>
      <c r="J249" s="191">
        <f t="shared" si="33"/>
        <v>0</v>
      </c>
      <c r="K249" s="192" t="s">
        <v>121</v>
      </c>
      <c r="L249" s="182"/>
      <c r="M249" s="183">
        <f t="shared" si="27"/>
        <v>0</v>
      </c>
      <c r="N249" s="53"/>
      <c r="O249" s="193">
        <v>2787</v>
      </c>
      <c r="P249" s="194">
        <f t="shared" si="34"/>
        <v>0</v>
      </c>
      <c r="R249" s="56"/>
    </row>
    <row r="250" spans="2:18" s="24" customFormat="1" ht="15.75" x14ac:dyDescent="0.25">
      <c r="B250" s="172" t="s">
        <v>375</v>
      </c>
      <c r="C250" s="173" t="s">
        <v>24</v>
      </c>
      <c r="D250" s="174" t="s">
        <v>489</v>
      </c>
      <c r="E250" s="195">
        <v>5000</v>
      </c>
      <c r="F250" s="188">
        <v>1000</v>
      </c>
      <c r="G250" s="196">
        <v>0</v>
      </c>
      <c r="H250" s="196">
        <v>0</v>
      </c>
      <c r="I250" s="196">
        <v>0</v>
      </c>
      <c r="J250" s="191">
        <f t="shared" si="33"/>
        <v>0</v>
      </c>
      <c r="K250" s="192" t="s">
        <v>121</v>
      </c>
      <c r="L250" s="182"/>
      <c r="M250" s="183">
        <f t="shared" si="27"/>
        <v>0</v>
      </c>
      <c r="N250" s="53"/>
      <c r="O250" s="193" t="s">
        <v>490</v>
      </c>
      <c r="P250" s="194">
        <f t="shared" si="34"/>
        <v>0</v>
      </c>
      <c r="R250" s="56"/>
    </row>
    <row r="251" spans="2:18" s="24" customFormat="1" ht="15.75" x14ac:dyDescent="0.25">
      <c r="B251" s="172" t="s">
        <v>375</v>
      </c>
      <c r="C251" s="173" t="s">
        <v>24</v>
      </c>
      <c r="D251" s="174" t="s">
        <v>491</v>
      </c>
      <c r="E251" s="195">
        <v>3000</v>
      </c>
      <c r="F251" s="188">
        <v>1000</v>
      </c>
      <c r="G251" s="196">
        <v>0</v>
      </c>
      <c r="H251" s="196">
        <v>0</v>
      </c>
      <c r="I251" s="196">
        <v>0</v>
      </c>
      <c r="J251" s="191">
        <f t="shared" si="33"/>
        <v>0</v>
      </c>
      <c r="K251" s="192" t="s">
        <v>121</v>
      </c>
      <c r="L251" s="182"/>
      <c r="M251" s="183">
        <f t="shared" si="27"/>
        <v>0</v>
      </c>
      <c r="N251" s="53"/>
      <c r="O251" s="193">
        <v>960500</v>
      </c>
      <c r="P251" s="194">
        <f t="shared" si="34"/>
        <v>0</v>
      </c>
      <c r="R251" s="56"/>
    </row>
    <row r="252" spans="2:18" s="24" customFormat="1" ht="15.75" x14ac:dyDescent="0.25">
      <c r="B252" s="173" t="s">
        <v>375</v>
      </c>
      <c r="C252" s="173" t="s">
        <v>24</v>
      </c>
      <c r="D252" s="174" t="s">
        <v>492</v>
      </c>
      <c r="E252" s="195">
        <v>5000</v>
      </c>
      <c r="F252" s="234">
        <v>1000</v>
      </c>
      <c r="G252" s="196">
        <v>0</v>
      </c>
      <c r="H252" s="190">
        <v>4.05</v>
      </c>
      <c r="I252" s="179">
        <v>0</v>
      </c>
      <c r="J252" s="191">
        <f t="shared" si="33"/>
        <v>0.81</v>
      </c>
      <c r="K252" s="192" t="s">
        <v>121</v>
      </c>
      <c r="L252" s="182"/>
      <c r="M252" s="183">
        <f t="shared" si="27"/>
        <v>0</v>
      </c>
      <c r="N252" s="53"/>
      <c r="O252" s="193" t="s">
        <v>493</v>
      </c>
      <c r="P252" s="194">
        <f t="shared" si="34"/>
        <v>4050.0000000000005</v>
      </c>
      <c r="R252" s="56"/>
    </row>
    <row r="253" spans="2:18" s="24" customFormat="1" ht="15.75" x14ac:dyDescent="0.25">
      <c r="B253" s="173" t="s">
        <v>375</v>
      </c>
      <c r="C253" s="173" t="s">
        <v>24</v>
      </c>
      <c r="D253" s="174" t="s">
        <v>494</v>
      </c>
      <c r="E253" s="195">
        <v>3000</v>
      </c>
      <c r="F253" s="234">
        <v>1000</v>
      </c>
      <c r="G253" s="196">
        <v>0</v>
      </c>
      <c r="H253" s="190">
        <v>2</v>
      </c>
      <c r="I253" s="179">
        <v>0</v>
      </c>
      <c r="J253" s="191">
        <f t="shared" si="33"/>
        <v>0.66666666666666663</v>
      </c>
      <c r="K253" s="192" t="s">
        <v>121</v>
      </c>
      <c r="L253" s="182"/>
      <c r="M253" s="183">
        <f t="shared" si="27"/>
        <v>0</v>
      </c>
      <c r="N253" s="53"/>
      <c r="O253" s="193" t="s">
        <v>495</v>
      </c>
      <c r="P253" s="194">
        <f t="shared" si="34"/>
        <v>2000</v>
      </c>
      <c r="R253" s="56"/>
    </row>
    <row r="254" spans="2:18" s="24" customFormat="1" ht="15.75" x14ac:dyDescent="0.25">
      <c r="B254" s="173" t="s">
        <v>375</v>
      </c>
      <c r="C254" s="173" t="s">
        <v>24</v>
      </c>
      <c r="D254" s="174" t="s">
        <v>496</v>
      </c>
      <c r="E254" s="195">
        <v>2000</v>
      </c>
      <c r="F254" s="199">
        <v>1000</v>
      </c>
      <c r="G254" s="196">
        <v>0</v>
      </c>
      <c r="H254" s="196">
        <v>0</v>
      </c>
      <c r="I254" s="196">
        <v>0</v>
      </c>
      <c r="J254" s="191">
        <f t="shared" si="33"/>
        <v>0</v>
      </c>
      <c r="K254" s="192" t="s">
        <v>121</v>
      </c>
      <c r="L254" s="182"/>
      <c r="M254" s="183">
        <f t="shared" si="27"/>
        <v>0</v>
      </c>
      <c r="N254" s="53"/>
      <c r="O254" s="193" t="s">
        <v>497</v>
      </c>
      <c r="P254" s="194">
        <f t="shared" si="34"/>
        <v>0</v>
      </c>
      <c r="R254" s="56"/>
    </row>
    <row r="255" spans="2:18" s="24" customFormat="1" ht="15.75" x14ac:dyDescent="0.25">
      <c r="B255" s="172" t="s">
        <v>375</v>
      </c>
      <c r="C255" s="173" t="s">
        <v>24</v>
      </c>
      <c r="D255" s="174" t="s">
        <v>498</v>
      </c>
      <c r="E255" s="195">
        <v>2000</v>
      </c>
      <c r="F255" s="188">
        <v>1000</v>
      </c>
      <c r="G255" s="196">
        <v>0</v>
      </c>
      <c r="H255" s="196">
        <v>0</v>
      </c>
      <c r="I255" s="196">
        <v>0</v>
      </c>
      <c r="J255" s="191">
        <f t="shared" si="33"/>
        <v>0</v>
      </c>
      <c r="K255" s="192" t="s">
        <v>121</v>
      </c>
      <c r="L255" s="182"/>
      <c r="M255" s="183">
        <f t="shared" si="27"/>
        <v>0</v>
      </c>
      <c r="N255" s="53"/>
      <c r="O255" s="193">
        <v>2758</v>
      </c>
      <c r="P255" s="194">
        <f t="shared" si="34"/>
        <v>0</v>
      </c>
      <c r="R255" s="56"/>
    </row>
    <row r="256" spans="2:18" s="24" customFormat="1" ht="15.75" x14ac:dyDescent="0.25">
      <c r="B256" s="172" t="s">
        <v>375</v>
      </c>
      <c r="C256" s="173" t="s">
        <v>24</v>
      </c>
      <c r="D256" s="174" t="s">
        <v>499</v>
      </c>
      <c r="E256" s="195">
        <v>2000</v>
      </c>
      <c r="F256" s="188">
        <v>1000</v>
      </c>
      <c r="G256" s="196">
        <v>0</v>
      </c>
      <c r="H256" s="196">
        <v>0</v>
      </c>
      <c r="I256" s="196">
        <v>0</v>
      </c>
      <c r="J256" s="191">
        <f t="shared" si="33"/>
        <v>0</v>
      </c>
      <c r="K256" s="192" t="s">
        <v>121</v>
      </c>
      <c r="L256" s="182"/>
      <c r="M256" s="183">
        <f t="shared" si="27"/>
        <v>0</v>
      </c>
      <c r="N256" s="53"/>
      <c r="O256" s="193">
        <v>960484</v>
      </c>
      <c r="P256" s="194">
        <f t="shared" si="34"/>
        <v>0</v>
      </c>
      <c r="R256" s="56"/>
    </row>
    <row r="257" spans="1:19" s="24" customFormat="1" ht="15.75" x14ac:dyDescent="0.25">
      <c r="B257" s="172" t="s">
        <v>375</v>
      </c>
      <c r="C257" s="173" t="s">
        <v>24</v>
      </c>
      <c r="D257" s="174" t="s">
        <v>500</v>
      </c>
      <c r="E257" s="195">
        <v>2000</v>
      </c>
      <c r="F257" s="188">
        <v>1000</v>
      </c>
      <c r="G257" s="196">
        <v>2</v>
      </c>
      <c r="H257" s="190">
        <v>0.7</v>
      </c>
      <c r="I257" s="179">
        <v>0</v>
      </c>
      <c r="J257" s="191">
        <f t="shared" si="33"/>
        <v>2.35</v>
      </c>
      <c r="K257" s="192" t="s">
        <v>121</v>
      </c>
      <c r="L257" s="182"/>
      <c r="M257" s="183">
        <f t="shared" si="27"/>
        <v>0</v>
      </c>
      <c r="N257" s="53"/>
      <c r="O257" s="193">
        <v>2829</v>
      </c>
      <c r="P257" s="194">
        <f t="shared" si="34"/>
        <v>4700</v>
      </c>
      <c r="R257" s="56"/>
    </row>
    <row r="258" spans="1:19" s="24" customFormat="1" ht="15.75" x14ac:dyDescent="0.25">
      <c r="B258" s="172" t="s">
        <v>375</v>
      </c>
      <c r="C258" s="173" t="s">
        <v>24</v>
      </c>
      <c r="D258" s="174" t="s">
        <v>501</v>
      </c>
      <c r="E258" s="195">
        <v>5000</v>
      </c>
      <c r="F258" s="188">
        <v>1000</v>
      </c>
      <c r="G258" s="196">
        <v>0</v>
      </c>
      <c r="H258" s="196">
        <v>0</v>
      </c>
      <c r="I258" s="196">
        <v>0</v>
      </c>
      <c r="J258" s="191">
        <f>G258+H258*F258/E258+I258/E258</f>
        <v>0</v>
      </c>
      <c r="K258" s="192" t="s">
        <v>121</v>
      </c>
      <c r="L258" s="182"/>
      <c r="M258" s="183">
        <f t="shared" si="27"/>
        <v>0</v>
      </c>
      <c r="N258" s="53"/>
      <c r="O258" s="193">
        <v>2811</v>
      </c>
      <c r="P258" s="194">
        <f t="shared" si="34"/>
        <v>0</v>
      </c>
      <c r="R258" s="56"/>
    </row>
    <row r="259" spans="1:19" s="249" customFormat="1" ht="15.75" customHeight="1" x14ac:dyDescent="0.25">
      <c r="A259" s="24"/>
      <c r="B259" s="235" t="s">
        <v>502</v>
      </c>
      <c r="C259" s="236" t="s">
        <v>24</v>
      </c>
      <c r="D259" s="237" t="s">
        <v>503</v>
      </c>
      <c r="E259" s="238">
        <v>6</v>
      </c>
      <c r="F259" s="239"/>
      <c r="G259" s="240">
        <v>1</v>
      </c>
      <c r="H259" s="241"/>
      <c r="I259" s="242">
        <v>1</v>
      </c>
      <c r="J259" s="243">
        <f>G259+I259/E259</f>
        <v>1.1666666666666667</v>
      </c>
      <c r="K259" s="244" t="s">
        <v>121</v>
      </c>
      <c r="L259" s="245"/>
      <c r="M259" s="246">
        <f t="shared" si="27"/>
        <v>0</v>
      </c>
      <c r="N259" s="53"/>
      <c r="O259" s="247">
        <v>1000147</v>
      </c>
      <c r="P259" s="248">
        <f t="shared" si="29"/>
        <v>7</v>
      </c>
      <c r="Q259" s="24"/>
      <c r="R259" s="56"/>
      <c r="S259" s="24"/>
    </row>
    <row r="260" spans="1:19" s="249" customFormat="1" ht="15.75" customHeight="1" x14ac:dyDescent="0.25">
      <c r="A260" s="24"/>
      <c r="B260" s="235" t="s">
        <v>502</v>
      </c>
      <c r="C260" s="236" t="s">
        <v>24</v>
      </c>
      <c r="D260" s="237" t="s">
        <v>504</v>
      </c>
      <c r="E260" s="238">
        <v>12</v>
      </c>
      <c r="F260" s="239"/>
      <c r="G260" s="240">
        <v>0</v>
      </c>
      <c r="H260" s="241"/>
      <c r="I260" s="242">
        <v>0</v>
      </c>
      <c r="J260" s="243">
        <f>G260+I260/E260</f>
        <v>0</v>
      </c>
      <c r="K260" s="244" t="s">
        <v>121</v>
      </c>
      <c r="L260" s="245"/>
      <c r="M260" s="246">
        <f t="shared" si="27"/>
        <v>0</v>
      </c>
      <c r="N260" s="53"/>
      <c r="O260" s="247">
        <v>1000501</v>
      </c>
      <c r="P260" s="248">
        <f t="shared" si="29"/>
        <v>0</v>
      </c>
      <c r="Q260" s="24"/>
      <c r="R260" s="56"/>
      <c r="S260" s="24"/>
    </row>
    <row r="261" spans="1:19" s="249" customFormat="1" ht="15.75" customHeight="1" x14ac:dyDescent="0.25">
      <c r="A261" s="24"/>
      <c r="B261" s="235" t="s">
        <v>502</v>
      </c>
      <c r="C261" s="236" t="s">
        <v>24</v>
      </c>
      <c r="D261" s="237" t="s">
        <v>505</v>
      </c>
      <c r="E261" s="238">
        <v>4</v>
      </c>
      <c r="F261" s="239"/>
      <c r="G261" s="240">
        <v>0</v>
      </c>
      <c r="H261" s="241"/>
      <c r="I261" s="242">
        <v>0</v>
      </c>
      <c r="J261" s="243">
        <f t="shared" ref="J261:J278" si="35">G261+I261/E261</f>
        <v>0</v>
      </c>
      <c r="K261" s="244" t="s">
        <v>121</v>
      </c>
      <c r="L261" s="245"/>
      <c r="M261" s="246">
        <f t="shared" si="27"/>
        <v>0</v>
      </c>
      <c r="N261" s="53"/>
      <c r="O261" s="247">
        <v>1000651</v>
      </c>
      <c r="P261" s="248">
        <f t="shared" si="29"/>
        <v>0</v>
      </c>
      <c r="Q261" s="24"/>
      <c r="R261" s="56"/>
      <c r="S261" s="24"/>
    </row>
    <row r="262" spans="1:19" s="249" customFormat="1" ht="15.75" customHeight="1" x14ac:dyDescent="0.25">
      <c r="A262" s="24"/>
      <c r="B262" s="235" t="s">
        <v>502</v>
      </c>
      <c r="C262" s="236" t="s">
        <v>24</v>
      </c>
      <c r="D262" s="237" t="s">
        <v>506</v>
      </c>
      <c r="E262" s="238">
        <v>1</v>
      </c>
      <c r="F262" s="239"/>
      <c r="G262" s="240">
        <v>0</v>
      </c>
      <c r="H262" s="241"/>
      <c r="I262" s="250"/>
      <c r="J262" s="243">
        <f>G262</f>
        <v>0</v>
      </c>
      <c r="K262" s="244" t="s">
        <v>121</v>
      </c>
      <c r="L262" s="245"/>
      <c r="M262" s="246">
        <f t="shared" si="27"/>
        <v>0</v>
      </c>
      <c r="N262" s="53"/>
      <c r="O262" s="247">
        <v>92214514</v>
      </c>
      <c r="P262" s="248">
        <f t="shared" si="29"/>
        <v>0</v>
      </c>
      <c r="Q262" s="24"/>
      <c r="R262" s="56"/>
      <c r="S262" s="24"/>
    </row>
    <row r="263" spans="1:19" s="249" customFormat="1" ht="15.75" customHeight="1" x14ac:dyDescent="0.25">
      <c r="A263" s="24"/>
      <c r="B263" s="235" t="s">
        <v>502</v>
      </c>
      <c r="C263" s="236" t="s">
        <v>24</v>
      </c>
      <c r="D263" s="237" t="s">
        <v>507</v>
      </c>
      <c r="E263" s="238">
        <v>2</v>
      </c>
      <c r="F263" s="239"/>
      <c r="G263" s="240">
        <v>1</v>
      </c>
      <c r="H263" s="241"/>
      <c r="I263" s="242">
        <v>0.25</v>
      </c>
      <c r="J263" s="243">
        <f t="shared" si="35"/>
        <v>1.125</v>
      </c>
      <c r="K263" s="244" t="s">
        <v>121</v>
      </c>
      <c r="L263" s="245"/>
      <c r="M263" s="246">
        <f t="shared" si="27"/>
        <v>0</v>
      </c>
      <c r="N263" s="53"/>
      <c r="O263" s="247">
        <v>1000803</v>
      </c>
      <c r="P263" s="248">
        <f t="shared" si="29"/>
        <v>2.25</v>
      </c>
      <c r="Q263" s="24"/>
      <c r="R263" s="56"/>
      <c r="S263" s="24"/>
    </row>
    <row r="264" spans="1:19" s="249" customFormat="1" ht="15.75" customHeight="1" x14ac:dyDescent="0.25">
      <c r="A264" s="24"/>
      <c r="B264" s="235" t="s">
        <v>502</v>
      </c>
      <c r="C264" s="236" t="s">
        <v>24</v>
      </c>
      <c r="D264" s="237" t="s">
        <v>508</v>
      </c>
      <c r="E264" s="238">
        <v>12</v>
      </c>
      <c r="F264" s="239"/>
      <c r="G264" s="240">
        <v>0</v>
      </c>
      <c r="H264" s="241"/>
      <c r="I264" s="242">
        <v>0</v>
      </c>
      <c r="J264" s="243">
        <f t="shared" si="35"/>
        <v>0</v>
      </c>
      <c r="K264" s="244" t="s">
        <v>121</v>
      </c>
      <c r="L264" s="245"/>
      <c r="M264" s="246">
        <f t="shared" si="27"/>
        <v>0</v>
      </c>
      <c r="N264" s="53"/>
      <c r="O264" s="247" t="s">
        <v>509</v>
      </c>
      <c r="P264" s="248">
        <f t="shared" si="29"/>
        <v>0</v>
      </c>
      <c r="Q264" s="24"/>
      <c r="R264" s="56"/>
      <c r="S264" s="24"/>
    </row>
    <row r="265" spans="1:19" s="249" customFormat="1" ht="15.75" customHeight="1" x14ac:dyDescent="0.25">
      <c r="A265" s="24"/>
      <c r="B265" s="235" t="s">
        <v>502</v>
      </c>
      <c r="C265" s="236" t="s">
        <v>24</v>
      </c>
      <c r="D265" s="237" t="s">
        <v>510</v>
      </c>
      <c r="E265" s="238">
        <v>2</v>
      </c>
      <c r="F265" s="239"/>
      <c r="G265" s="240">
        <v>0</v>
      </c>
      <c r="H265" s="241"/>
      <c r="I265" s="242">
        <v>0</v>
      </c>
      <c r="J265" s="243">
        <f t="shared" si="35"/>
        <v>0</v>
      </c>
      <c r="K265" s="244" t="s">
        <v>121</v>
      </c>
      <c r="L265" s="245"/>
      <c r="M265" s="246">
        <f t="shared" si="27"/>
        <v>0</v>
      </c>
      <c r="N265" s="53"/>
      <c r="O265" s="247">
        <v>10025521</v>
      </c>
      <c r="P265" s="248">
        <f t="shared" si="29"/>
        <v>0</v>
      </c>
      <c r="Q265" s="24"/>
      <c r="R265" s="56"/>
      <c r="S265" s="24"/>
    </row>
    <row r="266" spans="1:19" s="249" customFormat="1" ht="15.75" customHeight="1" x14ac:dyDescent="0.25">
      <c r="A266" s="24"/>
      <c r="B266" s="235" t="s">
        <v>502</v>
      </c>
      <c r="C266" s="236" t="s">
        <v>24</v>
      </c>
      <c r="D266" s="237" t="s">
        <v>511</v>
      </c>
      <c r="E266" s="238">
        <v>2</v>
      </c>
      <c r="F266" s="239"/>
      <c r="G266" s="240">
        <v>0</v>
      </c>
      <c r="H266" s="241"/>
      <c r="I266" s="242">
        <v>0</v>
      </c>
      <c r="J266" s="243">
        <f t="shared" si="35"/>
        <v>0</v>
      </c>
      <c r="K266" s="244" t="s">
        <v>121</v>
      </c>
      <c r="L266" s="245"/>
      <c r="M266" s="246">
        <f t="shared" si="27"/>
        <v>0</v>
      </c>
      <c r="N266" s="53"/>
      <c r="O266" s="247">
        <v>10025519</v>
      </c>
      <c r="P266" s="248">
        <f t="shared" si="29"/>
        <v>0</v>
      </c>
      <c r="Q266" s="24"/>
      <c r="R266" s="56"/>
      <c r="S266" s="24"/>
    </row>
    <row r="267" spans="1:19" s="249" customFormat="1" ht="15.75" customHeight="1" x14ac:dyDescent="0.25">
      <c r="A267" s="24"/>
      <c r="B267" s="235" t="s">
        <v>502</v>
      </c>
      <c r="C267" s="236" t="s">
        <v>24</v>
      </c>
      <c r="D267" s="237" t="s">
        <v>512</v>
      </c>
      <c r="E267" s="238">
        <v>2</v>
      </c>
      <c r="F267" s="239"/>
      <c r="G267" s="240">
        <v>0</v>
      </c>
      <c r="H267" s="241"/>
      <c r="I267" s="242">
        <v>0</v>
      </c>
      <c r="J267" s="243">
        <f t="shared" si="35"/>
        <v>0</v>
      </c>
      <c r="K267" s="244" t="s">
        <v>121</v>
      </c>
      <c r="L267" s="245"/>
      <c r="M267" s="246">
        <f t="shared" si="27"/>
        <v>0</v>
      </c>
      <c r="N267" s="53"/>
      <c r="O267" s="247">
        <v>10025520</v>
      </c>
      <c r="P267" s="248">
        <f t="shared" si="29"/>
        <v>0</v>
      </c>
      <c r="Q267" s="24"/>
      <c r="R267" s="56"/>
      <c r="S267" s="24"/>
    </row>
    <row r="268" spans="1:19" s="249" customFormat="1" ht="15.75" customHeight="1" x14ac:dyDescent="0.25">
      <c r="A268" s="24"/>
      <c r="B268" s="235" t="s">
        <v>502</v>
      </c>
      <c r="C268" s="236" t="s">
        <v>24</v>
      </c>
      <c r="D268" s="237" t="s">
        <v>513</v>
      </c>
      <c r="E268" s="238">
        <v>2</v>
      </c>
      <c r="F268" s="239"/>
      <c r="G268" s="240">
        <v>0</v>
      </c>
      <c r="H268" s="241"/>
      <c r="I268" s="242">
        <v>0</v>
      </c>
      <c r="J268" s="243">
        <f t="shared" si="35"/>
        <v>0</v>
      </c>
      <c r="K268" s="244" t="s">
        <v>121</v>
      </c>
      <c r="L268" s="245"/>
      <c r="M268" s="246">
        <f t="shared" si="27"/>
        <v>0</v>
      </c>
      <c r="N268" s="53"/>
      <c r="O268" s="247">
        <v>10025498</v>
      </c>
      <c r="P268" s="248">
        <f t="shared" si="29"/>
        <v>0</v>
      </c>
      <c r="Q268" s="24"/>
      <c r="R268" s="56"/>
      <c r="S268" s="24"/>
    </row>
    <row r="269" spans="1:19" s="249" customFormat="1" ht="15.75" customHeight="1" x14ac:dyDescent="0.25">
      <c r="A269" s="24"/>
      <c r="B269" s="235" t="s">
        <v>502</v>
      </c>
      <c r="C269" s="236" t="s">
        <v>24</v>
      </c>
      <c r="D269" s="237" t="s">
        <v>514</v>
      </c>
      <c r="E269" s="238">
        <v>2</v>
      </c>
      <c r="F269" s="239"/>
      <c r="G269" s="240">
        <v>0</v>
      </c>
      <c r="H269" s="241"/>
      <c r="I269" s="242">
        <v>0</v>
      </c>
      <c r="J269" s="243">
        <f t="shared" si="35"/>
        <v>0</v>
      </c>
      <c r="K269" s="244" t="s">
        <v>121</v>
      </c>
      <c r="L269" s="245"/>
      <c r="M269" s="246">
        <f t="shared" si="27"/>
        <v>0</v>
      </c>
      <c r="N269" s="53"/>
      <c r="O269" s="247">
        <v>10034973</v>
      </c>
      <c r="P269" s="248">
        <f t="shared" si="29"/>
        <v>0</v>
      </c>
      <c r="Q269" s="24"/>
      <c r="R269" s="56"/>
      <c r="S269" s="24"/>
    </row>
    <row r="270" spans="1:19" s="249" customFormat="1" ht="15.75" customHeight="1" x14ac:dyDescent="0.25">
      <c r="A270" s="24"/>
      <c r="B270" s="235" t="s">
        <v>502</v>
      </c>
      <c r="C270" s="236" t="s">
        <v>24</v>
      </c>
      <c r="D270" s="237" t="s">
        <v>515</v>
      </c>
      <c r="E270" s="238">
        <v>2</v>
      </c>
      <c r="F270" s="239"/>
      <c r="G270" s="240">
        <v>0</v>
      </c>
      <c r="H270" s="241"/>
      <c r="I270" s="242">
        <v>0</v>
      </c>
      <c r="J270" s="243">
        <f t="shared" si="35"/>
        <v>0</v>
      </c>
      <c r="K270" s="244" t="s">
        <v>121</v>
      </c>
      <c r="L270" s="245"/>
      <c r="M270" s="246">
        <f t="shared" si="27"/>
        <v>0</v>
      </c>
      <c r="N270" s="53"/>
      <c r="O270" s="247">
        <v>10025500</v>
      </c>
      <c r="P270" s="248">
        <f t="shared" si="29"/>
        <v>0</v>
      </c>
      <c r="Q270" s="24"/>
      <c r="R270" s="56"/>
      <c r="S270" s="24"/>
    </row>
    <row r="271" spans="1:19" s="249" customFormat="1" ht="15.75" customHeight="1" x14ac:dyDescent="0.25">
      <c r="A271" s="24"/>
      <c r="B271" s="235" t="s">
        <v>502</v>
      </c>
      <c r="C271" s="236" t="s">
        <v>24</v>
      </c>
      <c r="D271" s="237" t="s">
        <v>516</v>
      </c>
      <c r="E271" s="238">
        <v>10</v>
      </c>
      <c r="F271" s="239"/>
      <c r="G271" s="240">
        <v>0</v>
      </c>
      <c r="H271" s="241"/>
      <c r="I271" s="242">
        <v>0</v>
      </c>
      <c r="J271" s="243">
        <f t="shared" si="35"/>
        <v>0</v>
      </c>
      <c r="K271" s="244" t="s">
        <v>121</v>
      </c>
      <c r="L271" s="245"/>
      <c r="M271" s="246">
        <f t="shared" si="27"/>
        <v>0</v>
      </c>
      <c r="N271" s="53"/>
      <c r="O271" s="247">
        <v>10099670</v>
      </c>
      <c r="P271" s="248">
        <f t="shared" si="29"/>
        <v>0</v>
      </c>
      <c r="Q271" s="24"/>
      <c r="R271" s="56"/>
      <c r="S271" s="24"/>
    </row>
    <row r="272" spans="1:19" s="249" customFormat="1" ht="15.75" customHeight="1" x14ac:dyDescent="0.25">
      <c r="A272" s="24"/>
      <c r="B272" s="235" t="s">
        <v>502</v>
      </c>
      <c r="C272" s="236" t="s">
        <v>24</v>
      </c>
      <c r="D272" s="237" t="s">
        <v>517</v>
      </c>
      <c r="E272" s="238">
        <v>20</v>
      </c>
      <c r="F272" s="239"/>
      <c r="G272" s="240">
        <v>0</v>
      </c>
      <c r="H272" s="241"/>
      <c r="I272" s="242">
        <v>0</v>
      </c>
      <c r="J272" s="243">
        <f t="shared" si="35"/>
        <v>0</v>
      </c>
      <c r="K272" s="244" t="s">
        <v>121</v>
      </c>
      <c r="L272" s="245"/>
      <c r="M272" s="246">
        <f t="shared" si="27"/>
        <v>0</v>
      </c>
      <c r="N272" s="53"/>
      <c r="O272" s="247">
        <v>992662</v>
      </c>
      <c r="P272" s="248">
        <f t="shared" si="29"/>
        <v>0</v>
      </c>
      <c r="Q272" s="24"/>
      <c r="R272" s="56"/>
      <c r="S272" s="24"/>
    </row>
    <row r="273" spans="1:19" s="249" customFormat="1" ht="15.75" customHeight="1" x14ac:dyDescent="0.25">
      <c r="A273" s="24"/>
      <c r="B273" s="235" t="s">
        <v>502</v>
      </c>
      <c r="C273" s="236" t="s">
        <v>24</v>
      </c>
      <c r="D273" s="237" t="s">
        <v>518</v>
      </c>
      <c r="E273" s="238">
        <v>4</v>
      </c>
      <c r="F273" s="239"/>
      <c r="G273" s="240">
        <v>0</v>
      </c>
      <c r="H273" s="241"/>
      <c r="I273" s="242">
        <v>1</v>
      </c>
      <c r="J273" s="243">
        <f t="shared" si="35"/>
        <v>0.25</v>
      </c>
      <c r="K273" s="244" t="s">
        <v>121</v>
      </c>
      <c r="L273" s="245"/>
      <c r="M273" s="246">
        <f t="shared" si="27"/>
        <v>0</v>
      </c>
      <c r="N273" s="53"/>
      <c r="O273" s="247">
        <v>1000620</v>
      </c>
      <c r="P273" s="248">
        <f t="shared" si="29"/>
        <v>1</v>
      </c>
      <c r="Q273" s="24"/>
      <c r="R273" s="56"/>
      <c r="S273" s="24"/>
    </row>
    <row r="274" spans="1:19" s="249" customFormat="1" ht="15.75" customHeight="1" x14ac:dyDescent="0.25">
      <c r="A274" s="24"/>
      <c r="B274" s="235" t="s">
        <v>502</v>
      </c>
      <c r="C274" s="236" t="s">
        <v>24</v>
      </c>
      <c r="D274" s="237" t="s">
        <v>519</v>
      </c>
      <c r="E274" s="238">
        <v>48</v>
      </c>
      <c r="F274" s="239"/>
      <c r="G274" s="240">
        <v>0</v>
      </c>
      <c r="H274" s="241"/>
      <c r="I274" s="242">
        <v>0</v>
      </c>
      <c r="J274" s="243">
        <f t="shared" si="35"/>
        <v>0</v>
      </c>
      <c r="K274" s="244" t="s">
        <v>121</v>
      </c>
      <c r="L274" s="245"/>
      <c r="M274" s="246">
        <f t="shared" si="27"/>
        <v>0</v>
      </c>
      <c r="N274" s="53"/>
      <c r="O274" s="247">
        <v>1000254</v>
      </c>
      <c r="P274" s="248">
        <f t="shared" si="29"/>
        <v>0</v>
      </c>
      <c r="Q274" s="24"/>
      <c r="R274" s="56"/>
      <c r="S274" s="24"/>
    </row>
    <row r="275" spans="1:19" s="257" customFormat="1" ht="17.45" customHeight="1" x14ac:dyDescent="0.25">
      <c r="A275" s="209"/>
      <c r="B275" s="251" t="s">
        <v>502</v>
      </c>
      <c r="C275" s="252" t="s">
        <v>24</v>
      </c>
      <c r="D275" s="237" t="s">
        <v>520</v>
      </c>
      <c r="E275" s="253">
        <v>100</v>
      </c>
      <c r="F275" s="254"/>
      <c r="G275" s="240">
        <v>4</v>
      </c>
      <c r="H275" s="241"/>
      <c r="I275" s="242">
        <v>5</v>
      </c>
      <c r="J275" s="255">
        <f t="shared" si="35"/>
        <v>4.05</v>
      </c>
      <c r="K275" s="256" t="s">
        <v>521</v>
      </c>
      <c r="L275" s="245"/>
      <c r="M275" s="246">
        <f t="shared" ref="M275:M328" si="36">J275*L275</f>
        <v>0</v>
      </c>
      <c r="N275" s="53"/>
      <c r="O275" s="247" t="s">
        <v>522</v>
      </c>
      <c r="P275" s="248">
        <f t="shared" si="29"/>
        <v>405</v>
      </c>
      <c r="Q275" s="24"/>
      <c r="R275" s="56"/>
      <c r="S275" s="209"/>
    </row>
    <row r="276" spans="1:19" s="249" customFormat="1" ht="15.75" customHeight="1" x14ac:dyDescent="0.25">
      <c r="A276" s="24"/>
      <c r="B276" s="235" t="s">
        <v>502</v>
      </c>
      <c r="C276" s="236" t="s">
        <v>24</v>
      </c>
      <c r="D276" s="237" t="s">
        <v>523</v>
      </c>
      <c r="E276" s="238">
        <v>2</v>
      </c>
      <c r="F276" s="239"/>
      <c r="G276" s="240">
        <v>1</v>
      </c>
      <c r="H276" s="241"/>
      <c r="I276" s="242">
        <v>0</v>
      </c>
      <c r="J276" s="255">
        <f t="shared" si="35"/>
        <v>1</v>
      </c>
      <c r="K276" s="244" t="s">
        <v>121</v>
      </c>
      <c r="L276" s="245"/>
      <c r="M276" s="246">
        <f t="shared" si="36"/>
        <v>0</v>
      </c>
      <c r="N276" s="53"/>
      <c r="O276" s="247">
        <v>10021341</v>
      </c>
      <c r="P276" s="248">
        <f t="shared" si="29"/>
        <v>2</v>
      </c>
      <c r="Q276" s="24"/>
      <c r="R276" s="56"/>
      <c r="S276" s="24"/>
    </row>
    <row r="277" spans="1:19" s="249" customFormat="1" ht="15.75" customHeight="1" x14ac:dyDescent="0.25">
      <c r="A277" s="24"/>
      <c r="B277" s="235" t="s">
        <v>502</v>
      </c>
      <c r="C277" s="236" t="s">
        <v>24</v>
      </c>
      <c r="D277" s="237" t="s">
        <v>524</v>
      </c>
      <c r="E277" s="238">
        <v>200</v>
      </c>
      <c r="F277" s="239"/>
      <c r="G277" s="240">
        <v>0</v>
      </c>
      <c r="H277" s="241"/>
      <c r="I277" s="242">
        <v>0</v>
      </c>
      <c r="J277" s="243">
        <f t="shared" si="35"/>
        <v>0</v>
      </c>
      <c r="K277" s="244" t="s">
        <v>121</v>
      </c>
      <c r="L277" s="245"/>
      <c r="M277" s="246">
        <f t="shared" si="36"/>
        <v>0</v>
      </c>
      <c r="N277" s="53"/>
      <c r="O277" s="247" t="s">
        <v>525</v>
      </c>
      <c r="P277" s="248">
        <f t="shared" si="29"/>
        <v>0</v>
      </c>
      <c r="Q277" s="24"/>
      <c r="R277" s="56"/>
      <c r="S277" s="24"/>
    </row>
    <row r="278" spans="1:19" s="249" customFormat="1" ht="15.75" customHeight="1" x14ac:dyDescent="0.25">
      <c r="A278" s="24"/>
      <c r="B278" s="235" t="s">
        <v>502</v>
      </c>
      <c r="C278" s="236" t="s">
        <v>24</v>
      </c>
      <c r="D278" s="237" t="s">
        <v>526</v>
      </c>
      <c r="E278" s="238">
        <v>2</v>
      </c>
      <c r="F278" s="239"/>
      <c r="G278" s="240">
        <v>0</v>
      </c>
      <c r="H278" s="241"/>
      <c r="I278" s="242">
        <v>1.75</v>
      </c>
      <c r="J278" s="243">
        <f t="shared" si="35"/>
        <v>0.875</v>
      </c>
      <c r="K278" s="244" t="s">
        <v>121</v>
      </c>
      <c r="L278" s="245"/>
      <c r="M278" s="246">
        <f t="shared" si="36"/>
        <v>0</v>
      </c>
      <c r="N278" s="53"/>
      <c r="O278" s="247">
        <v>1000428</v>
      </c>
      <c r="P278" s="248">
        <f t="shared" si="29"/>
        <v>1.75</v>
      </c>
      <c r="Q278" s="24"/>
      <c r="R278" s="56"/>
      <c r="S278" s="24"/>
    </row>
    <row r="279" spans="1:19" s="249" customFormat="1" ht="15.75" customHeight="1" x14ac:dyDescent="0.25">
      <c r="A279" s="24"/>
      <c r="B279" s="235" t="s">
        <v>502</v>
      </c>
      <c r="C279" s="236" t="s">
        <v>24</v>
      </c>
      <c r="D279" s="237" t="s">
        <v>527</v>
      </c>
      <c r="E279" s="238">
        <v>6</v>
      </c>
      <c r="F279" s="239"/>
      <c r="G279" s="240">
        <v>0</v>
      </c>
      <c r="H279" s="241"/>
      <c r="I279" s="242">
        <v>2.25</v>
      </c>
      <c r="J279" s="243">
        <f>G279+I279/E279</f>
        <v>0.375</v>
      </c>
      <c r="K279" s="244" t="s">
        <v>121</v>
      </c>
      <c r="L279" s="245"/>
      <c r="M279" s="246">
        <f t="shared" si="36"/>
        <v>0</v>
      </c>
      <c r="N279" s="53"/>
      <c r="O279" s="247">
        <v>1000105</v>
      </c>
      <c r="P279" s="248">
        <f t="shared" si="29"/>
        <v>2.25</v>
      </c>
      <c r="Q279" s="24"/>
      <c r="R279" s="56"/>
      <c r="S279" s="24"/>
    </row>
    <row r="280" spans="1:19" s="249" customFormat="1" ht="15.75" customHeight="1" x14ac:dyDescent="0.25">
      <c r="A280" s="24"/>
      <c r="B280" s="235" t="s">
        <v>502</v>
      </c>
      <c r="C280" s="236" t="s">
        <v>24</v>
      </c>
      <c r="D280" s="237" t="s">
        <v>528</v>
      </c>
      <c r="E280" s="258"/>
      <c r="F280" s="259">
        <v>100</v>
      </c>
      <c r="G280" s="260"/>
      <c r="H280" s="261">
        <v>4</v>
      </c>
      <c r="I280" s="242">
        <v>0</v>
      </c>
      <c r="J280" s="243">
        <f>H280+I280/F280</f>
        <v>4</v>
      </c>
      <c r="K280" s="244" t="s">
        <v>529</v>
      </c>
      <c r="L280" s="245"/>
      <c r="M280" s="246">
        <f t="shared" si="36"/>
        <v>0</v>
      </c>
      <c r="N280" s="53"/>
      <c r="O280" s="247" t="s">
        <v>530</v>
      </c>
      <c r="P280" s="248">
        <f>J280*F280</f>
        <v>400</v>
      </c>
      <c r="Q280" s="24"/>
      <c r="R280" s="56"/>
      <c r="S280" s="24"/>
    </row>
    <row r="281" spans="1:19" s="249" customFormat="1" ht="15.75" customHeight="1" x14ac:dyDescent="0.25">
      <c r="A281" s="24"/>
      <c r="B281" s="235" t="s">
        <v>502</v>
      </c>
      <c r="C281" s="236" t="s">
        <v>24</v>
      </c>
      <c r="D281" s="237" t="s">
        <v>531</v>
      </c>
      <c r="E281" s="238">
        <v>10</v>
      </c>
      <c r="F281" s="259">
        <v>100</v>
      </c>
      <c r="G281" s="260"/>
      <c r="H281" s="261">
        <v>0</v>
      </c>
      <c r="I281" s="242">
        <v>0</v>
      </c>
      <c r="J281" s="243">
        <f>H281+I281/F281</f>
        <v>0</v>
      </c>
      <c r="K281" s="244" t="s">
        <v>529</v>
      </c>
      <c r="L281" s="245"/>
      <c r="M281" s="246">
        <f t="shared" si="36"/>
        <v>0</v>
      </c>
      <c r="N281" s="53"/>
      <c r="O281" s="247">
        <v>1501040004</v>
      </c>
      <c r="P281" s="248">
        <f>J281*10*100</f>
        <v>0</v>
      </c>
      <c r="Q281" s="24"/>
      <c r="R281" s="56"/>
      <c r="S281" s="24"/>
    </row>
    <row r="282" spans="1:19" s="249" customFormat="1" ht="15.75" customHeight="1" x14ac:dyDescent="0.25">
      <c r="A282" s="24"/>
      <c r="B282" s="235" t="s">
        <v>502</v>
      </c>
      <c r="C282" s="236" t="s">
        <v>24</v>
      </c>
      <c r="D282" s="237" t="s">
        <v>532</v>
      </c>
      <c r="E282" s="238">
        <v>10</v>
      </c>
      <c r="F282" s="259">
        <v>100</v>
      </c>
      <c r="G282" s="260"/>
      <c r="H282" s="261">
        <v>16</v>
      </c>
      <c r="I282" s="250"/>
      <c r="J282" s="243">
        <f>H282</f>
        <v>16</v>
      </c>
      <c r="K282" s="244" t="s">
        <v>533</v>
      </c>
      <c r="L282" s="245"/>
      <c r="M282" s="246">
        <f t="shared" si="36"/>
        <v>0</v>
      </c>
      <c r="N282" s="53"/>
      <c r="O282" s="247">
        <v>1501040002</v>
      </c>
      <c r="P282" s="248">
        <f>H282*F282</f>
        <v>1600</v>
      </c>
      <c r="Q282" s="24"/>
      <c r="R282" s="56"/>
      <c r="S282" s="24"/>
    </row>
    <row r="283" spans="1:19" s="249" customFormat="1" ht="15.75" customHeight="1" x14ac:dyDescent="0.25">
      <c r="A283" s="24"/>
      <c r="B283" s="235" t="s">
        <v>502</v>
      </c>
      <c r="C283" s="236" t="s">
        <v>24</v>
      </c>
      <c r="D283" s="237" t="s">
        <v>534</v>
      </c>
      <c r="E283" s="238">
        <v>20</v>
      </c>
      <c r="F283" s="259">
        <v>500</v>
      </c>
      <c r="G283" s="260"/>
      <c r="H283" s="261">
        <v>0</v>
      </c>
      <c r="I283" s="250"/>
      <c r="J283" s="243">
        <f>H283</f>
        <v>0</v>
      </c>
      <c r="K283" s="244" t="s">
        <v>535</v>
      </c>
      <c r="L283" s="245"/>
      <c r="M283" s="246">
        <f t="shared" si="36"/>
        <v>0</v>
      </c>
      <c r="N283" s="53"/>
      <c r="O283" s="247">
        <v>1501040005</v>
      </c>
      <c r="P283" s="248">
        <f>J283*F283</f>
        <v>0</v>
      </c>
      <c r="Q283" s="24"/>
      <c r="R283" s="56"/>
      <c r="S283" s="24"/>
    </row>
    <row r="284" spans="1:19" s="249" customFormat="1" ht="15.75" customHeight="1" x14ac:dyDescent="0.25">
      <c r="A284" s="24"/>
      <c r="B284" s="235" t="s">
        <v>502</v>
      </c>
      <c r="C284" s="236" t="s">
        <v>24</v>
      </c>
      <c r="D284" s="237" t="s">
        <v>536</v>
      </c>
      <c r="E284" s="238">
        <v>4</v>
      </c>
      <c r="F284" s="239"/>
      <c r="G284" s="240">
        <v>0</v>
      </c>
      <c r="H284" s="241"/>
      <c r="I284" s="242">
        <v>0</v>
      </c>
      <c r="J284" s="243">
        <f t="shared" ref="J284:J292" si="37">G284+I284/E284</f>
        <v>0</v>
      </c>
      <c r="K284" s="244" t="s">
        <v>121</v>
      </c>
      <c r="L284" s="245"/>
      <c r="M284" s="246">
        <f t="shared" si="36"/>
        <v>0</v>
      </c>
      <c r="N284" s="53"/>
      <c r="O284" s="247">
        <v>1000583</v>
      </c>
      <c r="P284" s="248">
        <f t="shared" ref="P284:P327" si="38">I284+G284*E284</f>
        <v>0</v>
      </c>
      <c r="Q284" s="24"/>
      <c r="R284" s="56"/>
      <c r="S284" s="24"/>
    </row>
    <row r="285" spans="1:19" s="249" customFormat="1" ht="15.75" customHeight="1" x14ac:dyDescent="0.25">
      <c r="A285" s="24"/>
      <c r="B285" s="235" t="s">
        <v>502</v>
      </c>
      <c r="C285" s="236" t="s">
        <v>24</v>
      </c>
      <c r="D285" s="237" t="s">
        <v>537</v>
      </c>
      <c r="E285" s="238">
        <v>6</v>
      </c>
      <c r="F285" s="239"/>
      <c r="G285" s="240">
        <v>0</v>
      </c>
      <c r="H285" s="241"/>
      <c r="I285" s="242">
        <v>0</v>
      </c>
      <c r="J285" s="243">
        <f t="shared" si="37"/>
        <v>0</v>
      </c>
      <c r="K285" s="244" t="s">
        <v>121</v>
      </c>
      <c r="L285" s="245"/>
      <c r="M285" s="246">
        <f t="shared" si="36"/>
        <v>0</v>
      </c>
      <c r="N285" s="53"/>
      <c r="O285" s="247">
        <v>1000495</v>
      </c>
      <c r="P285" s="248">
        <f t="shared" si="38"/>
        <v>0</v>
      </c>
      <c r="Q285" s="24"/>
      <c r="R285" s="56"/>
      <c r="S285" s="24"/>
    </row>
    <row r="286" spans="1:19" s="249" customFormat="1" ht="15.75" customHeight="1" x14ac:dyDescent="0.25">
      <c r="A286" s="24"/>
      <c r="B286" s="235" t="s">
        <v>502</v>
      </c>
      <c r="C286" s="236" t="s">
        <v>24</v>
      </c>
      <c r="D286" s="237" t="s">
        <v>538</v>
      </c>
      <c r="E286" s="238">
        <v>4</v>
      </c>
      <c r="F286" s="239"/>
      <c r="G286" s="240">
        <v>1</v>
      </c>
      <c r="H286" s="241"/>
      <c r="I286" s="242">
        <v>1.05</v>
      </c>
      <c r="J286" s="243">
        <f t="shared" si="37"/>
        <v>1.2625</v>
      </c>
      <c r="K286" s="244" t="s">
        <v>121</v>
      </c>
      <c r="L286" s="245"/>
      <c r="M286" s="246">
        <f t="shared" si="36"/>
        <v>0</v>
      </c>
      <c r="N286" s="53"/>
      <c r="O286" s="247">
        <v>1000672</v>
      </c>
      <c r="P286" s="248">
        <f t="shared" si="38"/>
        <v>5.05</v>
      </c>
      <c r="Q286" s="24"/>
      <c r="R286" s="56"/>
      <c r="S286" s="24"/>
    </row>
    <row r="287" spans="1:19" s="249" customFormat="1" ht="15.75" customHeight="1" x14ac:dyDescent="0.25">
      <c r="A287" s="24"/>
      <c r="B287" s="235" t="s">
        <v>502</v>
      </c>
      <c r="C287" s="236" t="s">
        <v>24</v>
      </c>
      <c r="D287" s="237" t="s">
        <v>539</v>
      </c>
      <c r="E287" s="238">
        <v>18</v>
      </c>
      <c r="F287" s="239"/>
      <c r="G287" s="240">
        <v>1</v>
      </c>
      <c r="H287" s="241"/>
      <c r="I287" s="242">
        <v>13</v>
      </c>
      <c r="J287" s="243">
        <f t="shared" si="37"/>
        <v>1.7222222222222223</v>
      </c>
      <c r="K287" s="244" t="s">
        <v>121</v>
      </c>
      <c r="L287" s="245"/>
      <c r="M287" s="246">
        <f t="shared" si="36"/>
        <v>0</v>
      </c>
      <c r="N287" s="53"/>
      <c r="O287" s="247">
        <v>10010286</v>
      </c>
      <c r="P287" s="248">
        <f t="shared" si="38"/>
        <v>31</v>
      </c>
      <c r="Q287" s="24"/>
      <c r="R287" s="56"/>
      <c r="S287" s="24"/>
    </row>
    <row r="288" spans="1:19" s="249" customFormat="1" ht="15.75" customHeight="1" x14ac:dyDescent="0.25">
      <c r="A288" s="24"/>
      <c r="B288" s="235" t="s">
        <v>502</v>
      </c>
      <c r="C288" s="236" t="s">
        <v>24</v>
      </c>
      <c r="D288" s="237" t="s">
        <v>540</v>
      </c>
      <c r="E288" s="238">
        <v>10</v>
      </c>
      <c r="F288" s="239"/>
      <c r="G288" s="240">
        <v>1</v>
      </c>
      <c r="H288" s="241"/>
      <c r="I288" s="242">
        <v>2</v>
      </c>
      <c r="J288" s="243">
        <f>G288+I288/E288</f>
        <v>1.2</v>
      </c>
      <c r="K288" s="244" t="s">
        <v>121</v>
      </c>
      <c r="L288" s="245"/>
      <c r="M288" s="246">
        <f t="shared" si="36"/>
        <v>0</v>
      </c>
      <c r="N288" s="53"/>
      <c r="O288" s="247">
        <v>10017829</v>
      </c>
      <c r="P288" s="248">
        <f t="shared" si="38"/>
        <v>12</v>
      </c>
      <c r="Q288" s="24"/>
      <c r="R288" s="56"/>
      <c r="S288" s="24"/>
    </row>
    <row r="289" spans="1:19" s="249" customFormat="1" ht="15.75" customHeight="1" x14ac:dyDescent="0.25">
      <c r="A289" s="24"/>
      <c r="B289" s="235" t="s">
        <v>502</v>
      </c>
      <c r="C289" s="236" t="s">
        <v>24</v>
      </c>
      <c r="D289" s="237" t="s">
        <v>541</v>
      </c>
      <c r="E289" s="238">
        <v>4</v>
      </c>
      <c r="F289" s="239"/>
      <c r="G289" s="240">
        <v>0</v>
      </c>
      <c r="H289" s="241"/>
      <c r="I289" s="242">
        <v>3</v>
      </c>
      <c r="J289" s="243">
        <f t="shared" ref="J289:J291" si="39">G289+I289/E289</f>
        <v>0.75</v>
      </c>
      <c r="K289" s="244" t="s">
        <v>121</v>
      </c>
      <c r="L289" s="245"/>
      <c r="M289" s="246">
        <f t="shared" si="36"/>
        <v>0</v>
      </c>
      <c r="N289" s="53"/>
      <c r="O289" s="247">
        <v>1000827</v>
      </c>
      <c r="P289" s="248">
        <f t="shared" si="38"/>
        <v>3</v>
      </c>
      <c r="Q289" s="24"/>
      <c r="R289" s="56"/>
      <c r="S289" s="24"/>
    </row>
    <row r="290" spans="1:19" s="249" customFormat="1" ht="15.75" customHeight="1" x14ac:dyDescent="0.25">
      <c r="A290" s="24"/>
      <c r="B290" s="235" t="s">
        <v>502</v>
      </c>
      <c r="C290" s="236" t="s">
        <v>24</v>
      </c>
      <c r="D290" s="237" t="s">
        <v>542</v>
      </c>
      <c r="E290" s="238">
        <v>6</v>
      </c>
      <c r="F290" s="239"/>
      <c r="G290" s="240">
        <v>0</v>
      </c>
      <c r="H290" s="241"/>
      <c r="I290" s="242">
        <v>0</v>
      </c>
      <c r="J290" s="243">
        <f t="shared" si="39"/>
        <v>0</v>
      </c>
      <c r="K290" s="244" t="s">
        <v>121</v>
      </c>
      <c r="L290" s="245"/>
      <c r="M290" s="246">
        <f t="shared" si="36"/>
        <v>0</v>
      </c>
      <c r="N290" s="53"/>
      <c r="O290" s="247">
        <v>1000061</v>
      </c>
      <c r="P290" s="248">
        <f t="shared" si="38"/>
        <v>0</v>
      </c>
      <c r="Q290" s="24"/>
      <c r="R290" s="56"/>
      <c r="S290" s="24"/>
    </row>
    <row r="291" spans="1:19" s="249" customFormat="1" ht="15.75" customHeight="1" x14ac:dyDescent="0.25">
      <c r="A291" s="24"/>
      <c r="B291" s="235" t="s">
        <v>502</v>
      </c>
      <c r="C291" s="236" t="s">
        <v>24</v>
      </c>
      <c r="D291" s="237" t="s">
        <v>543</v>
      </c>
      <c r="E291" s="238">
        <v>12</v>
      </c>
      <c r="F291" s="239"/>
      <c r="G291" s="240">
        <v>0</v>
      </c>
      <c r="H291" s="241"/>
      <c r="I291" s="242">
        <v>0</v>
      </c>
      <c r="J291" s="243">
        <f t="shared" si="39"/>
        <v>0</v>
      </c>
      <c r="K291" s="244" t="s">
        <v>121</v>
      </c>
      <c r="L291" s="245"/>
      <c r="M291" s="246">
        <f t="shared" si="36"/>
        <v>0</v>
      </c>
      <c r="N291" s="53"/>
      <c r="O291" s="247">
        <v>92212986</v>
      </c>
      <c r="P291" s="248">
        <f t="shared" si="38"/>
        <v>0</v>
      </c>
      <c r="Q291" s="24"/>
      <c r="R291" s="56"/>
      <c r="S291" s="24"/>
    </row>
    <row r="292" spans="1:19" s="249" customFormat="1" ht="15.75" customHeight="1" x14ac:dyDescent="0.25">
      <c r="A292" s="24"/>
      <c r="B292" s="235" t="s">
        <v>502</v>
      </c>
      <c r="C292" s="236" t="s">
        <v>24</v>
      </c>
      <c r="D292" s="237" t="s">
        <v>544</v>
      </c>
      <c r="E292" s="238">
        <v>200</v>
      </c>
      <c r="F292" s="239"/>
      <c r="G292" s="240">
        <v>0</v>
      </c>
      <c r="H292" s="241"/>
      <c r="I292" s="242">
        <v>0</v>
      </c>
      <c r="J292" s="243">
        <f t="shared" si="37"/>
        <v>0</v>
      </c>
      <c r="K292" s="244" t="s">
        <v>121</v>
      </c>
      <c r="L292" s="245"/>
      <c r="M292" s="246">
        <f t="shared" si="36"/>
        <v>0</v>
      </c>
      <c r="N292" s="53"/>
      <c r="O292" s="247">
        <v>1000235</v>
      </c>
      <c r="P292" s="248">
        <f t="shared" si="38"/>
        <v>0</v>
      </c>
      <c r="Q292" s="24"/>
      <c r="R292" s="56"/>
      <c r="S292" s="24"/>
    </row>
    <row r="293" spans="1:19" s="249" customFormat="1" ht="15.75" customHeight="1" x14ac:dyDescent="0.25">
      <c r="A293" s="24"/>
      <c r="B293" s="235" t="s">
        <v>502</v>
      </c>
      <c r="C293" s="236" t="s">
        <v>24</v>
      </c>
      <c r="D293" s="262" t="s">
        <v>545</v>
      </c>
      <c r="E293" s="263">
        <v>240</v>
      </c>
      <c r="F293" s="264">
        <v>60</v>
      </c>
      <c r="G293" s="240">
        <v>0</v>
      </c>
      <c r="H293" s="261">
        <v>0</v>
      </c>
      <c r="I293" s="242">
        <v>1</v>
      </c>
      <c r="J293" s="265">
        <f>G293+H293*F293/E293+I293/E293</f>
        <v>4.1666666666666666E-3</v>
      </c>
      <c r="K293" s="266" t="s">
        <v>121</v>
      </c>
      <c r="L293" s="245"/>
      <c r="M293" s="246">
        <f t="shared" si="36"/>
        <v>0</v>
      </c>
      <c r="N293" s="53"/>
      <c r="O293" s="247">
        <v>1000723</v>
      </c>
      <c r="P293" s="248">
        <f>J293*E293</f>
        <v>1</v>
      </c>
      <c r="Q293" s="24"/>
      <c r="R293" s="56"/>
      <c r="S293" s="24"/>
    </row>
    <row r="294" spans="1:19" s="249" customFormat="1" ht="15.75" customHeight="1" x14ac:dyDescent="0.25">
      <c r="A294" s="24"/>
      <c r="B294" s="235" t="s">
        <v>502</v>
      </c>
      <c r="C294" s="236" t="s">
        <v>24</v>
      </c>
      <c r="D294" s="237" t="s">
        <v>546</v>
      </c>
      <c r="E294" s="238">
        <v>100</v>
      </c>
      <c r="F294" s="259">
        <v>10</v>
      </c>
      <c r="G294" s="240">
        <v>0</v>
      </c>
      <c r="H294" s="240">
        <v>0</v>
      </c>
      <c r="I294" s="240">
        <v>0</v>
      </c>
      <c r="J294" s="243">
        <f>G294+H294/(E294/F294)+I294/E294</f>
        <v>0</v>
      </c>
      <c r="K294" s="244" t="s">
        <v>121</v>
      </c>
      <c r="L294" s="245"/>
      <c r="M294" s="246">
        <f t="shared" si="36"/>
        <v>0</v>
      </c>
      <c r="N294" s="53"/>
      <c r="O294" s="247">
        <v>940372</v>
      </c>
      <c r="P294" s="248">
        <f>J294*E294</f>
        <v>0</v>
      </c>
      <c r="Q294" s="24"/>
      <c r="R294" s="56"/>
      <c r="S294" s="24"/>
    </row>
    <row r="295" spans="1:19" s="249" customFormat="1" ht="15.75" customHeight="1" x14ac:dyDescent="0.25">
      <c r="A295" s="24"/>
      <c r="B295" s="235" t="s">
        <v>502</v>
      </c>
      <c r="C295" s="236" t="s">
        <v>24</v>
      </c>
      <c r="D295" s="237" t="s">
        <v>547</v>
      </c>
      <c r="E295" s="238">
        <v>100</v>
      </c>
      <c r="F295" s="259">
        <v>10</v>
      </c>
      <c r="G295" s="240">
        <v>0</v>
      </c>
      <c r="H295" s="240">
        <v>0</v>
      </c>
      <c r="I295" s="240">
        <v>0</v>
      </c>
      <c r="J295" s="243">
        <f>G295+H295/(E295/F295)+I295/E295</f>
        <v>0</v>
      </c>
      <c r="K295" s="244" t="s">
        <v>121</v>
      </c>
      <c r="L295" s="245"/>
      <c r="M295" s="246">
        <f t="shared" si="36"/>
        <v>0</v>
      </c>
      <c r="N295" s="53"/>
      <c r="O295" s="247">
        <v>940374</v>
      </c>
      <c r="P295" s="248">
        <f t="shared" ref="P295:P297" si="40">J295*E295</f>
        <v>0</v>
      </c>
      <c r="Q295" s="24"/>
      <c r="R295" s="56"/>
      <c r="S295" s="24"/>
    </row>
    <row r="296" spans="1:19" s="249" customFormat="1" ht="15.75" customHeight="1" x14ac:dyDescent="0.25">
      <c r="A296" s="24"/>
      <c r="B296" s="235" t="s">
        <v>502</v>
      </c>
      <c r="C296" s="236" t="s">
        <v>24</v>
      </c>
      <c r="D296" s="237" t="s">
        <v>548</v>
      </c>
      <c r="E296" s="238">
        <v>100</v>
      </c>
      <c r="F296" s="259">
        <v>10</v>
      </c>
      <c r="G296" s="240">
        <v>0</v>
      </c>
      <c r="H296" s="261">
        <v>5</v>
      </c>
      <c r="I296" s="242">
        <v>5</v>
      </c>
      <c r="J296" s="243">
        <f>G296+H296/(E296/F296)+I296/E296</f>
        <v>0.55000000000000004</v>
      </c>
      <c r="K296" s="244" t="s">
        <v>121</v>
      </c>
      <c r="L296" s="245"/>
      <c r="M296" s="246">
        <f t="shared" si="36"/>
        <v>0</v>
      </c>
      <c r="N296" s="53"/>
      <c r="O296" s="247">
        <v>940371</v>
      </c>
      <c r="P296" s="248">
        <f t="shared" si="40"/>
        <v>55.000000000000007</v>
      </c>
      <c r="Q296" s="24"/>
      <c r="R296" s="56"/>
      <c r="S296" s="24"/>
    </row>
    <row r="297" spans="1:19" s="249" customFormat="1" ht="15.75" customHeight="1" x14ac:dyDescent="0.25">
      <c r="A297" s="24"/>
      <c r="B297" s="235" t="s">
        <v>502</v>
      </c>
      <c r="C297" s="236" t="s">
        <v>24</v>
      </c>
      <c r="D297" s="237" t="s">
        <v>549</v>
      </c>
      <c r="E297" s="238">
        <v>100</v>
      </c>
      <c r="F297" s="259">
        <v>10</v>
      </c>
      <c r="G297" s="240">
        <v>0</v>
      </c>
      <c r="H297" s="240">
        <v>0</v>
      </c>
      <c r="I297" s="240">
        <v>0</v>
      </c>
      <c r="J297" s="243">
        <f>G297+H297/(E297/F297)+I297/E297</f>
        <v>0</v>
      </c>
      <c r="K297" s="244" t="s">
        <v>121</v>
      </c>
      <c r="L297" s="245"/>
      <c r="M297" s="246">
        <f t="shared" si="36"/>
        <v>0</v>
      </c>
      <c r="N297" s="53"/>
      <c r="O297" s="247">
        <v>940373</v>
      </c>
      <c r="P297" s="248">
        <f t="shared" si="40"/>
        <v>0</v>
      </c>
      <c r="Q297" s="24"/>
      <c r="R297" s="56"/>
      <c r="S297" s="24"/>
    </row>
    <row r="298" spans="1:19" s="249" customFormat="1" ht="15.75" customHeight="1" x14ac:dyDescent="0.25">
      <c r="A298" s="24"/>
      <c r="B298" s="235" t="s">
        <v>502</v>
      </c>
      <c r="C298" s="236" t="s">
        <v>24</v>
      </c>
      <c r="D298" s="237" t="s">
        <v>550</v>
      </c>
      <c r="E298" s="238">
        <v>1</v>
      </c>
      <c r="F298" s="239"/>
      <c r="G298" s="260"/>
      <c r="H298" s="241"/>
      <c r="I298" s="242">
        <v>0.7</v>
      </c>
      <c r="J298" s="243">
        <f>I298</f>
        <v>0.7</v>
      </c>
      <c r="K298" s="244" t="s">
        <v>551</v>
      </c>
      <c r="L298" s="245"/>
      <c r="M298" s="246">
        <f t="shared" si="36"/>
        <v>0</v>
      </c>
      <c r="N298" s="53"/>
      <c r="O298" s="247">
        <v>1000231</v>
      </c>
      <c r="P298" s="248">
        <f t="shared" si="38"/>
        <v>0.7</v>
      </c>
      <c r="Q298" s="24"/>
      <c r="R298" s="56"/>
      <c r="S298" s="24"/>
    </row>
    <row r="299" spans="1:19" s="249" customFormat="1" ht="15.75" customHeight="1" x14ac:dyDescent="0.25">
      <c r="A299" s="24"/>
      <c r="B299" s="235" t="s">
        <v>502</v>
      </c>
      <c r="C299" s="236" t="s">
        <v>24</v>
      </c>
      <c r="D299" s="237" t="s">
        <v>552</v>
      </c>
      <c r="E299" s="238">
        <v>2</v>
      </c>
      <c r="F299" s="239"/>
      <c r="G299" s="240">
        <v>0</v>
      </c>
      <c r="H299" s="240">
        <v>0</v>
      </c>
      <c r="I299" s="240">
        <v>0</v>
      </c>
      <c r="J299" s="243">
        <f>G299+I299/E299</f>
        <v>0</v>
      </c>
      <c r="K299" s="244" t="s">
        <v>121</v>
      </c>
      <c r="L299" s="245"/>
      <c r="M299" s="246">
        <f t="shared" si="36"/>
        <v>0</v>
      </c>
      <c r="N299" s="53"/>
      <c r="O299" s="267">
        <v>70023852</v>
      </c>
      <c r="P299" s="248">
        <f t="shared" si="38"/>
        <v>0</v>
      </c>
      <c r="Q299" s="24"/>
      <c r="R299" s="56"/>
      <c r="S299" s="24"/>
    </row>
    <row r="300" spans="1:19" s="249" customFormat="1" ht="15.75" customHeight="1" x14ac:dyDescent="0.25">
      <c r="A300" s="24"/>
      <c r="B300" s="235" t="s">
        <v>502</v>
      </c>
      <c r="C300" s="236" t="s">
        <v>24</v>
      </c>
      <c r="D300" s="237" t="s">
        <v>553</v>
      </c>
      <c r="E300" s="238">
        <v>6</v>
      </c>
      <c r="F300" s="239"/>
      <c r="G300" s="240">
        <v>1</v>
      </c>
      <c r="H300" s="241"/>
      <c r="I300" s="242">
        <v>0.5</v>
      </c>
      <c r="J300" s="243">
        <f>G300+I300/E300</f>
        <v>1.0833333333333333</v>
      </c>
      <c r="K300" s="244" t="s">
        <v>121</v>
      </c>
      <c r="L300" s="245"/>
      <c r="M300" s="246">
        <f t="shared" si="36"/>
        <v>0</v>
      </c>
      <c r="N300" s="53"/>
      <c r="O300" s="247">
        <v>1000646</v>
      </c>
      <c r="P300" s="248">
        <f t="shared" si="38"/>
        <v>6.5</v>
      </c>
      <c r="Q300" s="24"/>
      <c r="R300" s="56"/>
      <c r="S300" s="24"/>
    </row>
    <row r="301" spans="1:19" s="249" customFormat="1" ht="15.75" customHeight="1" x14ac:dyDescent="0.25">
      <c r="A301" s="24"/>
      <c r="B301" s="235" t="s">
        <v>502</v>
      </c>
      <c r="C301" s="236" t="s">
        <v>24</v>
      </c>
      <c r="D301" s="237" t="s">
        <v>554</v>
      </c>
      <c r="E301" s="238">
        <v>18</v>
      </c>
      <c r="F301" s="239"/>
      <c r="G301" s="240">
        <v>0</v>
      </c>
      <c r="H301" s="241"/>
      <c r="I301" s="242">
        <v>0</v>
      </c>
      <c r="J301" s="243">
        <f>G301+I301/E301</f>
        <v>0</v>
      </c>
      <c r="K301" s="244" t="s">
        <v>555</v>
      </c>
      <c r="L301" s="245"/>
      <c r="M301" s="246">
        <f t="shared" si="36"/>
        <v>0</v>
      </c>
      <c r="N301" s="53"/>
      <c r="O301" s="247" t="s">
        <v>556</v>
      </c>
      <c r="P301" s="248">
        <f t="shared" si="38"/>
        <v>0</v>
      </c>
      <c r="Q301" s="24"/>
      <c r="R301" s="56"/>
      <c r="S301" s="24"/>
    </row>
    <row r="302" spans="1:19" s="249" customFormat="1" ht="15.75" customHeight="1" x14ac:dyDescent="0.25">
      <c r="A302" s="24"/>
      <c r="B302" s="235" t="s">
        <v>502</v>
      </c>
      <c r="C302" s="236" t="s">
        <v>24</v>
      </c>
      <c r="D302" s="237" t="s">
        <v>557</v>
      </c>
      <c r="E302" s="238">
        <v>120</v>
      </c>
      <c r="F302" s="239"/>
      <c r="G302" s="240">
        <v>0</v>
      </c>
      <c r="H302" s="241"/>
      <c r="I302" s="242">
        <v>100</v>
      </c>
      <c r="J302" s="243">
        <f>G302+(I302/E302)</f>
        <v>0.83333333333333337</v>
      </c>
      <c r="K302" s="244" t="s">
        <v>121</v>
      </c>
      <c r="L302" s="245"/>
      <c r="M302" s="246">
        <f t="shared" si="36"/>
        <v>0</v>
      </c>
      <c r="N302" s="53"/>
      <c r="O302" s="247">
        <v>1000236</v>
      </c>
      <c r="P302" s="248">
        <f t="shared" si="38"/>
        <v>100</v>
      </c>
      <c r="Q302" s="24"/>
      <c r="R302" s="56"/>
      <c r="S302" s="24"/>
    </row>
    <row r="303" spans="1:19" s="249" customFormat="1" ht="15.75" customHeight="1" x14ac:dyDescent="0.25">
      <c r="A303" s="24"/>
      <c r="B303" s="235" t="s">
        <v>502</v>
      </c>
      <c r="C303" s="236" t="s">
        <v>24</v>
      </c>
      <c r="D303" s="237" t="s">
        <v>558</v>
      </c>
      <c r="E303" s="238">
        <v>2</v>
      </c>
      <c r="F303" s="239"/>
      <c r="G303" s="240">
        <v>0</v>
      </c>
      <c r="H303" s="241"/>
      <c r="I303" s="242">
        <v>0</v>
      </c>
      <c r="J303" s="243">
        <f>G303+(I303/E303)</f>
        <v>0</v>
      </c>
      <c r="K303" s="244" t="s">
        <v>121</v>
      </c>
      <c r="L303" s="245"/>
      <c r="M303" s="246">
        <f t="shared" si="36"/>
        <v>0</v>
      </c>
      <c r="N303" s="53"/>
      <c r="O303" s="247">
        <v>10025531</v>
      </c>
      <c r="P303" s="248">
        <f t="shared" si="38"/>
        <v>0</v>
      </c>
      <c r="Q303" s="24"/>
      <c r="R303" s="56"/>
      <c r="S303" s="24"/>
    </row>
    <row r="304" spans="1:19" s="249" customFormat="1" ht="15.75" customHeight="1" x14ac:dyDescent="0.25">
      <c r="A304" s="24"/>
      <c r="B304" s="235" t="s">
        <v>502</v>
      </c>
      <c r="C304" s="236" t="s">
        <v>24</v>
      </c>
      <c r="D304" s="237" t="s">
        <v>559</v>
      </c>
      <c r="E304" s="238">
        <v>2</v>
      </c>
      <c r="F304" s="239"/>
      <c r="G304" s="240">
        <v>0</v>
      </c>
      <c r="H304" s="241"/>
      <c r="I304" s="242">
        <v>0</v>
      </c>
      <c r="J304" s="243">
        <f>G304+(I304/E304)</f>
        <v>0</v>
      </c>
      <c r="K304" s="244" t="s">
        <v>121</v>
      </c>
      <c r="L304" s="245"/>
      <c r="M304" s="246">
        <f t="shared" si="36"/>
        <v>0</v>
      </c>
      <c r="N304" s="53"/>
      <c r="O304" s="247">
        <v>10025532</v>
      </c>
      <c r="P304" s="248">
        <f t="shared" si="38"/>
        <v>0</v>
      </c>
      <c r="Q304" s="24"/>
      <c r="R304" s="56"/>
      <c r="S304" s="24"/>
    </row>
    <row r="305" spans="1:19" s="249" customFormat="1" ht="15.75" customHeight="1" x14ac:dyDescent="0.25">
      <c r="A305" s="24"/>
      <c r="B305" s="235" t="s">
        <v>502</v>
      </c>
      <c r="C305" s="236" t="s">
        <v>24</v>
      </c>
      <c r="D305" s="237" t="s">
        <v>560</v>
      </c>
      <c r="E305" s="238">
        <v>6</v>
      </c>
      <c r="F305" s="239"/>
      <c r="G305" s="240">
        <v>0</v>
      </c>
      <c r="H305" s="241"/>
      <c r="I305" s="242">
        <v>0</v>
      </c>
      <c r="J305" s="243">
        <f>G305+I305/E305</f>
        <v>0</v>
      </c>
      <c r="K305" s="244" t="s">
        <v>121</v>
      </c>
      <c r="L305" s="245"/>
      <c r="M305" s="246">
        <f t="shared" si="36"/>
        <v>0</v>
      </c>
      <c r="N305" s="53"/>
      <c r="O305" s="247">
        <v>1000638</v>
      </c>
      <c r="P305" s="248">
        <f t="shared" si="38"/>
        <v>0</v>
      </c>
      <c r="Q305" s="24"/>
      <c r="R305" s="56"/>
      <c r="S305" s="24"/>
    </row>
    <row r="306" spans="1:19" s="249" customFormat="1" ht="15.75" customHeight="1" x14ac:dyDescent="0.25">
      <c r="A306" s="24"/>
      <c r="B306" s="235" t="s">
        <v>502</v>
      </c>
      <c r="C306" s="236" t="s">
        <v>24</v>
      </c>
      <c r="D306" s="237" t="s">
        <v>561</v>
      </c>
      <c r="E306" s="238">
        <v>6</v>
      </c>
      <c r="F306" s="239"/>
      <c r="G306" s="240">
        <v>1</v>
      </c>
      <c r="H306" s="241"/>
      <c r="I306" s="242">
        <v>2</v>
      </c>
      <c r="J306" s="243">
        <f>G306+I306/E306</f>
        <v>1.3333333333333333</v>
      </c>
      <c r="K306" s="244" t="s">
        <v>562</v>
      </c>
      <c r="L306" s="245"/>
      <c r="M306" s="246">
        <f t="shared" si="36"/>
        <v>0</v>
      </c>
      <c r="N306" s="53"/>
      <c r="O306" s="247" t="s">
        <v>563</v>
      </c>
      <c r="P306" s="248">
        <f t="shared" si="38"/>
        <v>8</v>
      </c>
      <c r="Q306" s="24"/>
      <c r="R306" s="56"/>
      <c r="S306" s="24"/>
    </row>
    <row r="307" spans="1:19" s="249" customFormat="1" ht="15.75" customHeight="1" x14ac:dyDescent="0.25">
      <c r="A307" s="24"/>
      <c r="B307" s="235" t="s">
        <v>502</v>
      </c>
      <c r="C307" s="236" t="s">
        <v>24</v>
      </c>
      <c r="D307" s="237" t="s">
        <v>564</v>
      </c>
      <c r="E307" s="238">
        <v>6</v>
      </c>
      <c r="F307" s="239"/>
      <c r="G307" s="260"/>
      <c r="H307" s="241"/>
      <c r="I307" s="242">
        <v>0</v>
      </c>
      <c r="J307" s="243">
        <f>I307</f>
        <v>0</v>
      </c>
      <c r="K307" s="244" t="s">
        <v>18</v>
      </c>
      <c r="L307" s="245"/>
      <c r="M307" s="246">
        <f t="shared" si="36"/>
        <v>0</v>
      </c>
      <c r="N307" s="53"/>
      <c r="O307" s="247" t="s">
        <v>565</v>
      </c>
      <c r="P307" s="248">
        <f t="shared" si="38"/>
        <v>0</v>
      </c>
      <c r="Q307" s="24"/>
      <c r="R307" s="56"/>
      <c r="S307" s="24"/>
    </row>
    <row r="308" spans="1:19" s="249" customFormat="1" ht="15.75" customHeight="1" x14ac:dyDescent="0.25">
      <c r="A308" s="24"/>
      <c r="B308" s="235" t="s">
        <v>502</v>
      </c>
      <c r="C308" s="236" t="s">
        <v>24</v>
      </c>
      <c r="D308" s="237" t="s">
        <v>566</v>
      </c>
      <c r="E308" s="238">
        <v>6</v>
      </c>
      <c r="F308" s="239"/>
      <c r="G308" s="240">
        <v>2</v>
      </c>
      <c r="H308" s="241"/>
      <c r="I308" s="242">
        <v>4</v>
      </c>
      <c r="J308" s="243">
        <f t="shared" ref="J308" si="41">G308+I308/E308</f>
        <v>2.6666666666666665</v>
      </c>
      <c r="K308" s="244" t="s">
        <v>562</v>
      </c>
      <c r="L308" s="245"/>
      <c r="M308" s="246">
        <f t="shared" si="36"/>
        <v>0</v>
      </c>
      <c r="N308" s="53"/>
      <c r="O308" s="247" t="s">
        <v>567</v>
      </c>
      <c r="P308" s="248">
        <f t="shared" si="38"/>
        <v>16</v>
      </c>
      <c r="Q308" s="24"/>
      <c r="R308" s="56"/>
      <c r="S308" s="24"/>
    </row>
    <row r="309" spans="1:19" s="249" customFormat="1" ht="15.75" customHeight="1" x14ac:dyDescent="0.25">
      <c r="A309" s="24"/>
      <c r="B309" s="235" t="s">
        <v>502</v>
      </c>
      <c r="C309" s="236" t="s">
        <v>24</v>
      </c>
      <c r="D309" s="237" t="s">
        <v>568</v>
      </c>
      <c r="E309" s="238">
        <v>3</v>
      </c>
      <c r="F309" s="239"/>
      <c r="G309" s="240">
        <v>0</v>
      </c>
      <c r="H309" s="241"/>
      <c r="I309" s="242">
        <v>0</v>
      </c>
      <c r="J309" s="243">
        <f>G309+I309/E309</f>
        <v>0</v>
      </c>
      <c r="K309" s="244" t="s">
        <v>569</v>
      </c>
      <c r="L309" s="245"/>
      <c r="M309" s="246">
        <f t="shared" si="36"/>
        <v>0</v>
      </c>
      <c r="N309" s="53"/>
      <c r="O309" s="247" t="s">
        <v>570</v>
      </c>
      <c r="P309" s="248">
        <f t="shared" si="38"/>
        <v>0</v>
      </c>
      <c r="Q309" s="24"/>
      <c r="R309" s="56"/>
      <c r="S309" s="24"/>
    </row>
    <row r="310" spans="1:19" s="249" customFormat="1" ht="15.75" customHeight="1" x14ac:dyDescent="0.25">
      <c r="A310" s="24"/>
      <c r="B310" s="235" t="s">
        <v>502</v>
      </c>
      <c r="C310" s="236" t="s">
        <v>24</v>
      </c>
      <c r="D310" s="237" t="s">
        <v>571</v>
      </c>
      <c r="E310" s="238">
        <v>1</v>
      </c>
      <c r="F310" s="239"/>
      <c r="G310" s="260"/>
      <c r="H310" s="241"/>
      <c r="I310" s="242">
        <v>0</v>
      </c>
      <c r="J310" s="243">
        <f>I310</f>
        <v>0</v>
      </c>
      <c r="K310" s="244" t="s">
        <v>18</v>
      </c>
      <c r="L310" s="245"/>
      <c r="M310" s="246">
        <f t="shared" si="36"/>
        <v>0</v>
      </c>
      <c r="N310" s="53"/>
      <c r="O310" s="247" t="s">
        <v>572</v>
      </c>
      <c r="P310" s="248">
        <f t="shared" si="38"/>
        <v>0</v>
      </c>
      <c r="Q310" s="24"/>
      <c r="R310" s="56"/>
      <c r="S310" s="24"/>
    </row>
    <row r="311" spans="1:19" s="257" customFormat="1" ht="20.100000000000001" customHeight="1" x14ac:dyDescent="0.25">
      <c r="A311" s="209"/>
      <c r="B311" s="251" t="s">
        <v>502</v>
      </c>
      <c r="C311" s="252" t="s">
        <v>24</v>
      </c>
      <c r="D311" s="268" t="s">
        <v>573</v>
      </c>
      <c r="E311" s="269">
        <v>6</v>
      </c>
      <c r="F311" s="270"/>
      <c r="G311" s="271">
        <v>2</v>
      </c>
      <c r="H311" s="272"/>
      <c r="I311" s="242">
        <v>0.25</v>
      </c>
      <c r="J311" s="273">
        <f>G311+I311/E311</f>
        <v>2.0416666666666665</v>
      </c>
      <c r="K311" s="274" t="s">
        <v>574</v>
      </c>
      <c r="L311" s="275"/>
      <c r="M311" s="246">
        <f t="shared" si="36"/>
        <v>0</v>
      </c>
      <c r="N311" s="53"/>
      <c r="O311" s="247" t="s">
        <v>575</v>
      </c>
      <c r="P311" s="248">
        <f t="shared" si="38"/>
        <v>12.25</v>
      </c>
      <c r="Q311" s="24"/>
      <c r="R311" s="56"/>
      <c r="S311" s="209"/>
    </row>
    <row r="312" spans="1:19" s="249" customFormat="1" ht="15.75" customHeight="1" x14ac:dyDescent="0.25">
      <c r="A312" s="24"/>
      <c r="B312" s="235" t="s">
        <v>502</v>
      </c>
      <c r="C312" s="236" t="s">
        <v>24</v>
      </c>
      <c r="D312" s="237" t="s">
        <v>576</v>
      </c>
      <c r="E312" s="276"/>
      <c r="F312" s="259">
        <v>50</v>
      </c>
      <c r="G312" s="260"/>
      <c r="H312" s="261">
        <v>2</v>
      </c>
      <c r="I312" s="242">
        <v>25</v>
      </c>
      <c r="J312" s="243">
        <f>H312+I312/F312</f>
        <v>2.5</v>
      </c>
      <c r="K312" s="244" t="s">
        <v>577</v>
      </c>
      <c r="L312" s="245"/>
      <c r="M312" s="246">
        <f t="shared" si="36"/>
        <v>0</v>
      </c>
      <c r="N312" s="53"/>
      <c r="O312" s="247" t="s">
        <v>578</v>
      </c>
      <c r="P312" s="248">
        <f>J312*F312</f>
        <v>125</v>
      </c>
      <c r="Q312" s="24"/>
      <c r="R312" s="56"/>
      <c r="S312" s="24"/>
    </row>
    <row r="313" spans="1:19" s="249" customFormat="1" ht="15.75" customHeight="1" x14ac:dyDescent="0.25">
      <c r="A313" s="24"/>
      <c r="B313" s="235" t="s">
        <v>502</v>
      </c>
      <c r="C313" s="236" t="s">
        <v>24</v>
      </c>
      <c r="D313" s="237" t="s">
        <v>579</v>
      </c>
      <c r="E313" s="258"/>
      <c r="F313" s="259">
        <v>250</v>
      </c>
      <c r="G313" s="260"/>
      <c r="H313" s="261">
        <v>0</v>
      </c>
      <c r="I313" s="242">
        <v>165</v>
      </c>
      <c r="J313" s="243">
        <f>H313+I313/F313</f>
        <v>0.66</v>
      </c>
      <c r="K313" s="244" t="s">
        <v>580</v>
      </c>
      <c r="L313" s="245"/>
      <c r="M313" s="246">
        <f t="shared" si="36"/>
        <v>0</v>
      </c>
      <c r="N313" s="53"/>
      <c r="O313" s="247" t="s">
        <v>581</v>
      </c>
      <c r="P313" s="248">
        <f>J313*F313</f>
        <v>165</v>
      </c>
      <c r="Q313" s="24"/>
      <c r="R313" s="56"/>
      <c r="S313" s="24"/>
    </row>
    <row r="314" spans="1:19" s="249" customFormat="1" ht="15.75" customHeight="1" x14ac:dyDescent="0.25">
      <c r="A314" s="24"/>
      <c r="B314" s="235" t="s">
        <v>502</v>
      </c>
      <c r="C314" s="236" t="s">
        <v>24</v>
      </c>
      <c r="D314" s="237" t="s">
        <v>582</v>
      </c>
      <c r="E314" s="238">
        <v>960</v>
      </c>
      <c r="F314" s="259">
        <v>160</v>
      </c>
      <c r="G314" s="240">
        <v>0</v>
      </c>
      <c r="H314" s="277">
        <v>3</v>
      </c>
      <c r="I314" s="242">
        <v>115</v>
      </c>
      <c r="J314" s="243">
        <f>G314+H314*F314/E314+I314/E314</f>
        <v>0.61979166666666663</v>
      </c>
      <c r="K314" s="244" t="s">
        <v>121</v>
      </c>
      <c r="L314" s="245"/>
      <c r="M314" s="246">
        <f t="shared" si="36"/>
        <v>0</v>
      </c>
      <c r="N314" s="53"/>
      <c r="O314" s="247">
        <v>1000088</v>
      </c>
      <c r="P314" s="248">
        <f>J314*E314</f>
        <v>595</v>
      </c>
      <c r="Q314" s="24"/>
      <c r="R314" s="56"/>
      <c r="S314" s="24"/>
    </row>
    <row r="315" spans="1:19" s="249" customFormat="1" ht="15.75" customHeight="1" x14ac:dyDescent="0.25">
      <c r="A315" s="24"/>
      <c r="B315" s="235" t="s">
        <v>502</v>
      </c>
      <c r="C315" s="236" t="s">
        <v>24</v>
      </c>
      <c r="D315" s="237" t="s">
        <v>583</v>
      </c>
      <c r="E315" s="238">
        <v>1380</v>
      </c>
      <c r="F315" s="259">
        <v>230</v>
      </c>
      <c r="G315" s="240">
        <v>0</v>
      </c>
      <c r="H315" s="240">
        <v>0</v>
      </c>
      <c r="I315" s="240">
        <v>0</v>
      </c>
      <c r="J315" s="243">
        <f>G315+H315*F315/E315+I315/E315</f>
        <v>0</v>
      </c>
      <c r="K315" s="244" t="s">
        <v>121</v>
      </c>
      <c r="L315" s="245"/>
      <c r="M315" s="246">
        <f t="shared" si="36"/>
        <v>0</v>
      </c>
      <c r="N315" s="53"/>
      <c r="O315" s="247" t="s">
        <v>584</v>
      </c>
      <c r="P315" s="248">
        <f>J315*E315</f>
        <v>0</v>
      </c>
      <c r="Q315" s="24"/>
      <c r="R315" s="56"/>
      <c r="S315" s="24"/>
    </row>
    <row r="316" spans="1:19" s="249" customFormat="1" ht="15.75" customHeight="1" x14ac:dyDescent="0.25">
      <c r="A316" s="24"/>
      <c r="B316" s="235" t="s">
        <v>502</v>
      </c>
      <c r="C316" s="236" t="s">
        <v>24</v>
      </c>
      <c r="D316" s="237" t="s">
        <v>585</v>
      </c>
      <c r="E316" s="238">
        <v>10</v>
      </c>
      <c r="F316" s="239"/>
      <c r="G316" s="240">
        <v>0</v>
      </c>
      <c r="H316" s="241"/>
      <c r="I316" s="242">
        <v>0</v>
      </c>
      <c r="J316" s="243">
        <f t="shared" ref="J316:J322" si="42">G316+(I316/E316)</f>
        <v>0</v>
      </c>
      <c r="K316" s="244" t="s">
        <v>121</v>
      </c>
      <c r="L316" s="245"/>
      <c r="M316" s="246">
        <f t="shared" si="36"/>
        <v>0</v>
      </c>
      <c r="N316" s="53"/>
      <c r="O316" s="247" t="s">
        <v>586</v>
      </c>
      <c r="P316" s="248">
        <f t="shared" si="38"/>
        <v>0</v>
      </c>
      <c r="Q316" s="24"/>
      <c r="R316" s="56"/>
      <c r="S316" s="24"/>
    </row>
    <row r="317" spans="1:19" s="249" customFormat="1" ht="15.75" customHeight="1" x14ac:dyDescent="0.25">
      <c r="A317" s="24"/>
      <c r="B317" s="235" t="s">
        <v>502</v>
      </c>
      <c r="C317" s="236" t="s">
        <v>24</v>
      </c>
      <c r="D317" s="237" t="s">
        <v>587</v>
      </c>
      <c r="E317" s="238">
        <v>10</v>
      </c>
      <c r="F317" s="239"/>
      <c r="G317" s="240">
        <v>0</v>
      </c>
      <c r="H317" s="241"/>
      <c r="I317" s="242">
        <v>0</v>
      </c>
      <c r="J317" s="243">
        <f t="shared" si="42"/>
        <v>0</v>
      </c>
      <c r="K317" s="244" t="s">
        <v>121</v>
      </c>
      <c r="L317" s="245"/>
      <c r="M317" s="246">
        <f t="shared" si="36"/>
        <v>0</v>
      </c>
      <c r="N317" s="53"/>
      <c r="O317" s="247" t="s">
        <v>588</v>
      </c>
      <c r="P317" s="248">
        <f t="shared" si="38"/>
        <v>0</v>
      </c>
      <c r="Q317" s="24"/>
      <c r="R317" s="56"/>
      <c r="S317" s="24"/>
    </row>
    <row r="318" spans="1:19" s="249" customFormat="1" ht="15.75" customHeight="1" x14ac:dyDescent="0.25">
      <c r="A318" s="24"/>
      <c r="B318" s="235" t="s">
        <v>502</v>
      </c>
      <c r="C318" s="236" t="s">
        <v>24</v>
      </c>
      <c r="D318" s="237" t="s">
        <v>589</v>
      </c>
      <c r="E318" s="238">
        <v>10</v>
      </c>
      <c r="F318" s="239"/>
      <c r="G318" s="240">
        <v>0</v>
      </c>
      <c r="H318" s="241"/>
      <c r="I318" s="242">
        <v>0</v>
      </c>
      <c r="J318" s="243">
        <f t="shared" si="42"/>
        <v>0</v>
      </c>
      <c r="K318" s="244" t="s">
        <v>121</v>
      </c>
      <c r="L318" s="245"/>
      <c r="M318" s="246">
        <f t="shared" si="36"/>
        <v>0</v>
      </c>
      <c r="N318" s="53"/>
      <c r="O318" s="247">
        <v>940898</v>
      </c>
      <c r="P318" s="248">
        <f t="shared" si="38"/>
        <v>0</v>
      </c>
      <c r="Q318" s="24"/>
      <c r="R318" s="56"/>
      <c r="S318" s="24"/>
    </row>
    <row r="319" spans="1:19" s="249" customFormat="1" ht="15.75" customHeight="1" x14ac:dyDescent="0.25">
      <c r="A319" s="24"/>
      <c r="B319" s="235" t="s">
        <v>502</v>
      </c>
      <c r="C319" s="236" t="s">
        <v>24</v>
      </c>
      <c r="D319" s="237" t="s">
        <v>590</v>
      </c>
      <c r="E319" s="238">
        <v>10</v>
      </c>
      <c r="F319" s="239"/>
      <c r="G319" s="240">
        <v>0</v>
      </c>
      <c r="H319" s="241"/>
      <c r="I319" s="242">
        <v>0</v>
      </c>
      <c r="J319" s="243">
        <f t="shared" si="42"/>
        <v>0</v>
      </c>
      <c r="K319" s="244" t="s">
        <v>121</v>
      </c>
      <c r="L319" s="245"/>
      <c r="M319" s="246">
        <f t="shared" si="36"/>
        <v>0</v>
      </c>
      <c r="N319" s="53"/>
      <c r="O319" s="247" t="s">
        <v>591</v>
      </c>
      <c r="P319" s="248">
        <f t="shared" si="38"/>
        <v>0</v>
      </c>
      <c r="Q319" s="24"/>
      <c r="R319" s="56"/>
      <c r="S319" s="24"/>
    </row>
    <row r="320" spans="1:19" s="249" customFormat="1" ht="15.75" customHeight="1" x14ac:dyDescent="0.25">
      <c r="A320" s="24"/>
      <c r="B320" s="235" t="s">
        <v>502</v>
      </c>
      <c r="C320" s="236" t="s">
        <v>24</v>
      </c>
      <c r="D320" s="237" t="s">
        <v>592</v>
      </c>
      <c r="E320" s="238">
        <v>200</v>
      </c>
      <c r="F320" s="239"/>
      <c r="G320" s="240">
        <v>0</v>
      </c>
      <c r="H320" s="241"/>
      <c r="I320" s="242">
        <v>0</v>
      </c>
      <c r="J320" s="243">
        <f t="shared" si="42"/>
        <v>0</v>
      </c>
      <c r="K320" s="244" t="s">
        <v>121</v>
      </c>
      <c r="L320" s="245"/>
      <c r="M320" s="246">
        <f t="shared" si="36"/>
        <v>0</v>
      </c>
      <c r="N320" s="53"/>
      <c r="O320" s="247">
        <v>1000234</v>
      </c>
      <c r="P320" s="248">
        <f t="shared" si="38"/>
        <v>0</v>
      </c>
      <c r="Q320" s="24"/>
      <c r="R320" s="56"/>
      <c r="S320" s="24"/>
    </row>
    <row r="321" spans="1:19" s="249" customFormat="1" ht="15.75" customHeight="1" x14ac:dyDescent="0.25">
      <c r="A321" s="24"/>
      <c r="B321" s="235" t="s">
        <v>502</v>
      </c>
      <c r="C321" s="236" t="s">
        <v>24</v>
      </c>
      <c r="D321" s="237" t="s">
        <v>593</v>
      </c>
      <c r="E321" s="238">
        <v>200</v>
      </c>
      <c r="F321" s="239"/>
      <c r="G321" s="240">
        <v>0</v>
      </c>
      <c r="H321" s="241"/>
      <c r="I321" s="242">
        <v>186</v>
      </c>
      <c r="J321" s="243">
        <f t="shared" si="42"/>
        <v>0.93</v>
      </c>
      <c r="K321" s="244" t="s">
        <v>121</v>
      </c>
      <c r="L321" s="245"/>
      <c r="M321" s="246">
        <f t="shared" si="36"/>
        <v>0</v>
      </c>
      <c r="N321" s="53"/>
      <c r="O321" s="247" t="s">
        <v>594</v>
      </c>
      <c r="P321" s="248">
        <f t="shared" si="38"/>
        <v>186</v>
      </c>
      <c r="Q321" s="24"/>
      <c r="R321" s="56"/>
      <c r="S321" s="24"/>
    </row>
    <row r="322" spans="1:19" s="249" customFormat="1" ht="15.75" customHeight="1" x14ac:dyDescent="0.25">
      <c r="A322" s="24"/>
      <c r="B322" s="235" t="s">
        <v>502</v>
      </c>
      <c r="C322" s="236" t="s">
        <v>24</v>
      </c>
      <c r="D322" s="237" t="s">
        <v>583</v>
      </c>
      <c r="E322" s="238">
        <v>6</v>
      </c>
      <c r="F322" s="239"/>
      <c r="G322" s="240">
        <v>0</v>
      </c>
      <c r="H322" s="241"/>
      <c r="I322" s="242">
        <v>0</v>
      </c>
      <c r="J322" s="243">
        <f t="shared" si="42"/>
        <v>0</v>
      </c>
      <c r="K322" s="244" t="s">
        <v>121</v>
      </c>
      <c r="L322" s="245"/>
      <c r="M322" s="246">
        <f t="shared" si="36"/>
        <v>0</v>
      </c>
      <c r="N322" s="53"/>
      <c r="O322" s="247" t="s">
        <v>584</v>
      </c>
      <c r="P322" s="248">
        <f t="shared" si="38"/>
        <v>0</v>
      </c>
      <c r="Q322" s="24"/>
      <c r="R322" s="56"/>
      <c r="S322" s="24"/>
    </row>
    <row r="323" spans="1:19" s="249" customFormat="1" ht="15.75" customHeight="1" x14ac:dyDescent="0.25">
      <c r="A323" s="24"/>
      <c r="B323" s="235" t="s">
        <v>502</v>
      </c>
      <c r="C323" s="236" t="s">
        <v>24</v>
      </c>
      <c r="D323" s="237" t="s">
        <v>595</v>
      </c>
      <c r="E323" s="238">
        <v>6</v>
      </c>
      <c r="F323" s="239"/>
      <c r="G323" s="240">
        <v>0</v>
      </c>
      <c r="H323" s="241"/>
      <c r="I323" s="242">
        <v>1.75</v>
      </c>
      <c r="J323" s="243">
        <f>G323+I323/E323</f>
        <v>0.29166666666666669</v>
      </c>
      <c r="K323" s="244" t="s">
        <v>121</v>
      </c>
      <c r="L323" s="245"/>
      <c r="M323" s="246">
        <f t="shared" si="36"/>
        <v>0</v>
      </c>
      <c r="N323" s="53"/>
      <c r="O323" s="247">
        <v>1000649</v>
      </c>
      <c r="P323" s="248">
        <f t="shared" si="38"/>
        <v>1.75</v>
      </c>
      <c r="Q323" s="24"/>
      <c r="R323" s="56"/>
      <c r="S323" s="24"/>
    </row>
    <row r="324" spans="1:19" s="249" customFormat="1" ht="15.75" customHeight="1" x14ac:dyDescent="0.25">
      <c r="A324" s="24"/>
      <c r="B324" s="235" t="s">
        <v>502</v>
      </c>
      <c r="C324" s="236" t="s">
        <v>24</v>
      </c>
      <c r="D324" s="237" t="s">
        <v>596</v>
      </c>
      <c r="E324" s="238">
        <v>1</v>
      </c>
      <c r="F324" s="239"/>
      <c r="G324" s="260"/>
      <c r="H324" s="241"/>
      <c r="I324" s="242">
        <v>0</v>
      </c>
      <c r="J324" s="243">
        <f>I324</f>
        <v>0</v>
      </c>
      <c r="K324" s="244" t="s">
        <v>597</v>
      </c>
      <c r="L324" s="245"/>
      <c r="M324" s="246">
        <f t="shared" si="36"/>
        <v>0</v>
      </c>
      <c r="N324" s="53"/>
      <c r="O324" s="247">
        <v>1000585</v>
      </c>
      <c r="P324" s="248">
        <f t="shared" si="38"/>
        <v>0</v>
      </c>
      <c r="Q324" s="24"/>
      <c r="R324" s="56"/>
      <c r="S324" s="24"/>
    </row>
    <row r="325" spans="1:19" s="249" customFormat="1" ht="15.75" customHeight="1" x14ac:dyDescent="0.25">
      <c r="A325" s="24"/>
      <c r="B325" s="235" t="s">
        <v>502</v>
      </c>
      <c r="C325" s="236" t="s">
        <v>24</v>
      </c>
      <c r="D325" s="237" t="s">
        <v>598</v>
      </c>
      <c r="E325" s="238">
        <v>2</v>
      </c>
      <c r="F325" s="239"/>
      <c r="G325" s="240">
        <v>0</v>
      </c>
      <c r="H325" s="241"/>
      <c r="I325" s="250"/>
      <c r="J325" s="243">
        <f>G325</f>
        <v>0</v>
      </c>
      <c r="K325" s="244" t="s">
        <v>121</v>
      </c>
      <c r="L325" s="245"/>
      <c r="M325" s="246">
        <f t="shared" si="36"/>
        <v>0</v>
      </c>
      <c r="N325" s="53"/>
      <c r="O325" s="247">
        <v>100868415</v>
      </c>
      <c r="P325" s="248">
        <f t="shared" si="38"/>
        <v>0</v>
      </c>
      <c r="Q325" s="24"/>
      <c r="R325" s="56"/>
      <c r="S325" s="24"/>
    </row>
    <row r="326" spans="1:19" s="249" customFormat="1" ht="15.75" customHeight="1" x14ac:dyDescent="0.25">
      <c r="A326" s="24"/>
      <c r="B326" s="235" t="s">
        <v>502</v>
      </c>
      <c r="C326" s="236" t="s">
        <v>24</v>
      </c>
      <c r="D326" s="237" t="s">
        <v>599</v>
      </c>
      <c r="E326" s="238">
        <v>5</v>
      </c>
      <c r="F326" s="239"/>
      <c r="G326" s="260"/>
      <c r="H326" s="241"/>
      <c r="I326" s="242">
        <v>0</v>
      </c>
      <c r="J326" s="243">
        <f>I326</f>
        <v>0</v>
      </c>
      <c r="K326" s="244" t="s">
        <v>121</v>
      </c>
      <c r="L326" s="245"/>
      <c r="M326" s="246">
        <f t="shared" si="36"/>
        <v>0</v>
      </c>
      <c r="N326" s="53"/>
      <c r="O326" s="247" t="s">
        <v>600</v>
      </c>
      <c r="P326" s="248">
        <f t="shared" si="38"/>
        <v>0</v>
      </c>
      <c r="Q326" s="24"/>
      <c r="R326" s="56"/>
      <c r="S326" s="24"/>
    </row>
    <row r="327" spans="1:19" s="279" customFormat="1" ht="15.75" customHeight="1" x14ac:dyDescent="0.25">
      <c r="A327" s="24"/>
      <c r="B327" s="235" t="s">
        <v>502</v>
      </c>
      <c r="C327" s="236" t="s">
        <v>24</v>
      </c>
      <c r="D327" s="237" t="s">
        <v>601</v>
      </c>
      <c r="E327" s="238">
        <v>1</v>
      </c>
      <c r="F327" s="239"/>
      <c r="G327" s="260"/>
      <c r="H327" s="241"/>
      <c r="I327" s="242">
        <v>0</v>
      </c>
      <c r="J327" s="243">
        <f>I327</f>
        <v>0</v>
      </c>
      <c r="K327" s="244" t="s">
        <v>602</v>
      </c>
      <c r="L327" s="245"/>
      <c r="M327" s="246">
        <f t="shared" si="36"/>
        <v>0</v>
      </c>
      <c r="N327" s="53"/>
      <c r="O327" s="278" t="s">
        <v>603</v>
      </c>
      <c r="P327" s="248">
        <f t="shared" si="38"/>
        <v>0</v>
      </c>
      <c r="Q327" s="24"/>
      <c r="R327" s="56"/>
      <c r="S327" s="24"/>
    </row>
    <row r="328" spans="1:19" s="279" customFormat="1" ht="15.75" customHeight="1" thickBot="1" x14ac:dyDescent="0.3">
      <c r="A328" s="24"/>
      <c r="B328" s="280" t="s">
        <v>502</v>
      </c>
      <c r="C328" s="281" t="s">
        <v>24</v>
      </c>
      <c r="D328" s="282" t="s">
        <v>604</v>
      </c>
      <c r="E328" s="283"/>
      <c r="F328" s="284">
        <v>100</v>
      </c>
      <c r="G328" s="285"/>
      <c r="H328" s="286">
        <v>0</v>
      </c>
      <c r="I328" s="287">
        <v>0</v>
      </c>
      <c r="J328" s="288">
        <f>H328+I328/100</f>
        <v>0</v>
      </c>
      <c r="K328" s="289" t="s">
        <v>605</v>
      </c>
      <c r="L328" s="245"/>
      <c r="M328" s="246">
        <f t="shared" si="36"/>
        <v>0</v>
      </c>
      <c r="N328" s="53"/>
      <c r="O328" s="290" t="s">
        <v>606</v>
      </c>
      <c r="P328" s="248">
        <f>J328*F328</f>
        <v>0</v>
      </c>
      <c r="Q328" s="24"/>
      <c r="R328" s="56"/>
      <c r="S328" s="24"/>
    </row>
    <row r="329" spans="1:19" ht="16.5" thickBot="1" x14ac:dyDescent="0.3">
      <c r="B329" s="291"/>
      <c r="C329" s="291"/>
      <c r="D329" s="24"/>
      <c r="E329" s="291"/>
      <c r="F329" s="24"/>
      <c r="G329" s="291"/>
      <c r="H329" s="291"/>
      <c r="I329" s="291"/>
      <c r="J329" s="292"/>
      <c r="K329" s="291"/>
      <c r="L329" s="293"/>
      <c r="M329" s="294"/>
      <c r="R329" s="56"/>
      <c r="S329" s="24"/>
    </row>
    <row r="330" spans="1:19" ht="16.5" thickBot="1" x14ac:dyDescent="0.3">
      <c r="D330" s="295" t="s">
        <v>23</v>
      </c>
      <c r="E330" s="296">
        <f t="shared" ref="E330:E335" si="43">SUMIF($B$7:$B$328,D330,$M$7:$M$328)</f>
        <v>0</v>
      </c>
      <c r="F330" s="297"/>
      <c r="R330" s="56"/>
      <c r="S330" s="24"/>
    </row>
    <row r="331" spans="1:19" ht="15.75" x14ac:dyDescent="0.25">
      <c r="D331" s="74" t="s">
        <v>119</v>
      </c>
      <c r="E331" s="78">
        <f t="shared" si="43"/>
        <v>0</v>
      </c>
      <c r="F331" s="298">
        <f>SUM(E331:E333)</f>
        <v>0</v>
      </c>
      <c r="R331" s="56"/>
      <c r="S331" s="24"/>
    </row>
    <row r="332" spans="1:19" ht="15.75" x14ac:dyDescent="0.25">
      <c r="D332" s="74" t="s">
        <v>214</v>
      </c>
      <c r="E332" s="78">
        <f t="shared" si="43"/>
        <v>0</v>
      </c>
      <c r="F332" s="299"/>
      <c r="R332" s="56"/>
      <c r="S332" s="24"/>
    </row>
    <row r="333" spans="1:19" ht="16.5" thickBot="1" x14ac:dyDescent="0.3">
      <c r="D333" s="74" t="s">
        <v>221</v>
      </c>
      <c r="E333" s="78">
        <f t="shared" si="43"/>
        <v>0</v>
      </c>
      <c r="F333" s="300"/>
      <c r="R333" s="56"/>
      <c r="S333" s="24"/>
    </row>
    <row r="334" spans="1:19" ht="15.75" x14ac:dyDescent="0.25">
      <c r="D334" s="301" t="s">
        <v>375</v>
      </c>
      <c r="E334" s="302">
        <f t="shared" si="43"/>
        <v>0</v>
      </c>
      <c r="F334" s="297"/>
      <c r="R334" s="56"/>
      <c r="S334" s="24"/>
    </row>
    <row r="335" spans="1:19" ht="16.5" thickBot="1" x14ac:dyDescent="0.3">
      <c r="D335" s="303" t="s">
        <v>502</v>
      </c>
      <c r="E335" s="304">
        <f t="shared" si="43"/>
        <v>0</v>
      </c>
      <c r="F335" s="297"/>
      <c r="R335" s="56"/>
      <c r="S335" s="24"/>
    </row>
    <row r="336" spans="1:19" ht="16.5" thickBot="1" x14ac:dyDescent="0.3">
      <c r="D336" s="305" t="s">
        <v>607</v>
      </c>
      <c r="E336" s="306">
        <f>SUM(E330:E335)</f>
        <v>0</v>
      </c>
      <c r="F336" s="307">
        <f>H336-E336</f>
        <v>0</v>
      </c>
      <c r="R336" s="56"/>
      <c r="S336" s="24"/>
    </row>
    <row r="337" spans="12:19" ht="15.75" x14ac:dyDescent="0.25">
      <c r="L337" s="308"/>
      <c r="N337" s="309"/>
      <c r="R337" s="56"/>
      <c r="S337" s="24"/>
    </row>
    <row r="338" spans="12:19" ht="15.75" x14ac:dyDescent="0.25">
      <c r="R338" s="56"/>
      <c r="S338" s="24"/>
    </row>
    <row r="339" spans="12:19" ht="15.75" x14ac:dyDescent="0.25">
      <c r="R339" s="56"/>
      <c r="S339" s="24"/>
    </row>
    <row r="340" spans="12:19" ht="15.75" x14ac:dyDescent="0.25">
      <c r="R340" s="56"/>
      <c r="S340" s="24"/>
    </row>
    <row r="341" spans="12:19" ht="15.75" x14ac:dyDescent="0.25">
      <c r="R341" s="56"/>
      <c r="S341" s="24"/>
    </row>
    <row r="342" spans="12:19" ht="15.75" x14ac:dyDescent="0.25">
      <c r="R342" s="56"/>
      <c r="S342" s="24"/>
    </row>
    <row r="343" spans="12:19" ht="15.75" x14ac:dyDescent="0.25">
      <c r="R343" s="56"/>
      <c r="S343" s="24"/>
    </row>
    <row r="344" spans="12:19" ht="15.75" x14ac:dyDescent="0.25">
      <c r="R344" s="56"/>
      <c r="S344" s="24"/>
    </row>
    <row r="345" spans="12:19" ht="15.75" x14ac:dyDescent="0.25">
      <c r="R345" s="56"/>
      <c r="S345" s="24"/>
    </row>
    <row r="346" spans="12:19" ht="15.75" x14ac:dyDescent="0.25">
      <c r="R346" s="56"/>
      <c r="S346" s="24"/>
    </row>
    <row r="347" spans="12:19" ht="15.75" x14ac:dyDescent="0.25">
      <c r="R347" s="56"/>
      <c r="S347" s="24"/>
    </row>
    <row r="348" spans="12:19" ht="15.75" x14ac:dyDescent="0.25">
      <c r="R348" s="56"/>
      <c r="S348" s="24"/>
    </row>
    <row r="349" spans="12:19" ht="15.75" x14ac:dyDescent="0.25">
      <c r="R349" s="56"/>
      <c r="S349" s="24"/>
    </row>
    <row r="350" spans="12:19" ht="15.75" x14ac:dyDescent="0.25">
      <c r="R350" s="56"/>
      <c r="S350" s="24"/>
    </row>
    <row r="351" spans="12:19" ht="15.75" x14ac:dyDescent="0.25">
      <c r="R351" s="56"/>
      <c r="S351" s="24"/>
    </row>
    <row r="352" spans="12:19" ht="15.75" x14ac:dyDescent="0.25">
      <c r="R352" s="56"/>
      <c r="S352" s="24"/>
    </row>
    <row r="353" spans="18:19" ht="15.75" x14ac:dyDescent="0.25">
      <c r="R353" s="56"/>
      <c r="S353" s="24"/>
    </row>
    <row r="354" spans="18:19" ht="15.75" x14ac:dyDescent="0.25">
      <c r="R354" s="56"/>
      <c r="S354" s="24"/>
    </row>
    <row r="355" spans="18:19" ht="15.75" x14ac:dyDescent="0.25">
      <c r="R355" s="56"/>
      <c r="S355" s="24"/>
    </row>
    <row r="356" spans="18:19" ht="15.75" x14ac:dyDescent="0.25">
      <c r="R356" s="56"/>
      <c r="S356" s="24"/>
    </row>
    <row r="357" spans="18:19" ht="15.75" x14ac:dyDescent="0.25">
      <c r="R357" s="56"/>
      <c r="S357" s="24"/>
    </row>
    <row r="358" spans="18:19" ht="15.75" x14ac:dyDescent="0.25">
      <c r="R358" s="56"/>
      <c r="S358" s="24"/>
    </row>
    <row r="359" spans="18:19" ht="15.75" x14ac:dyDescent="0.25">
      <c r="R359" s="56"/>
      <c r="S359" s="24"/>
    </row>
    <row r="360" spans="18:19" ht="15.75" x14ac:dyDescent="0.25">
      <c r="R360" s="56"/>
      <c r="S360" s="24"/>
    </row>
    <row r="361" spans="18:19" ht="15.75" x14ac:dyDescent="0.25">
      <c r="R361" s="56"/>
      <c r="S361" s="24"/>
    </row>
    <row r="362" spans="18:19" ht="15.75" x14ac:dyDescent="0.25">
      <c r="R362" s="56"/>
      <c r="S362" s="24"/>
    </row>
    <row r="363" spans="18:19" ht="15.75" x14ac:dyDescent="0.25">
      <c r="R363" s="56"/>
      <c r="S363" s="24"/>
    </row>
    <row r="364" spans="18:19" ht="15.75" x14ac:dyDescent="0.25">
      <c r="R364" s="56"/>
      <c r="S364" s="24"/>
    </row>
    <row r="365" spans="18:19" ht="15.75" x14ac:dyDescent="0.25">
      <c r="R365" s="56"/>
      <c r="S365" s="24"/>
    </row>
    <row r="366" spans="18:19" ht="15.75" x14ac:dyDescent="0.25">
      <c r="R366" s="56"/>
      <c r="S366" s="24"/>
    </row>
    <row r="367" spans="18:19" ht="15.75" x14ac:dyDescent="0.25">
      <c r="R367" s="56"/>
      <c r="S367" s="24"/>
    </row>
    <row r="368" spans="18:19" ht="15.75" x14ac:dyDescent="0.25">
      <c r="R368" s="56"/>
      <c r="S368" s="24"/>
    </row>
    <row r="369" spans="18:19" ht="15.75" x14ac:dyDescent="0.25">
      <c r="R369" s="56"/>
      <c r="S369" s="24"/>
    </row>
    <row r="370" spans="18:19" ht="15.75" x14ac:dyDescent="0.25">
      <c r="R370" s="56"/>
      <c r="S370" s="24"/>
    </row>
    <row r="371" spans="18:19" ht="15.75" x14ac:dyDescent="0.25">
      <c r="R371" s="56"/>
      <c r="S371" s="24"/>
    </row>
    <row r="372" spans="18:19" ht="15.75" x14ac:dyDescent="0.25">
      <c r="R372" s="56"/>
      <c r="S372" s="24"/>
    </row>
    <row r="373" spans="18:19" ht="15.75" x14ac:dyDescent="0.25">
      <c r="R373" s="56"/>
      <c r="S373" s="24"/>
    </row>
    <row r="374" spans="18:19" ht="15.75" x14ac:dyDescent="0.25">
      <c r="R374" s="56"/>
      <c r="S374" s="24"/>
    </row>
    <row r="375" spans="18:19" ht="15.75" x14ac:dyDescent="0.25">
      <c r="R375" s="56"/>
      <c r="S375" s="24"/>
    </row>
    <row r="376" spans="18:19" ht="15.75" x14ac:dyDescent="0.25">
      <c r="R376" s="56"/>
      <c r="S376" s="24"/>
    </row>
    <row r="377" spans="18:19" ht="15.75" x14ac:dyDescent="0.25">
      <c r="R377" s="56"/>
      <c r="S377" s="24"/>
    </row>
    <row r="378" spans="18:19" ht="15.75" x14ac:dyDescent="0.25">
      <c r="R378" s="56"/>
      <c r="S378" s="24"/>
    </row>
    <row r="379" spans="18:19" ht="15.75" x14ac:dyDescent="0.25">
      <c r="R379" s="56"/>
      <c r="S379" s="24"/>
    </row>
    <row r="380" spans="18:19" ht="15.75" x14ac:dyDescent="0.25">
      <c r="R380" s="56"/>
      <c r="S380" s="24"/>
    </row>
    <row r="381" spans="18:19" ht="15.75" x14ac:dyDescent="0.25">
      <c r="R381" s="56"/>
      <c r="S381" s="24"/>
    </row>
    <row r="382" spans="18:19" ht="15.75" x14ac:dyDescent="0.25">
      <c r="R382" s="56"/>
      <c r="S382" s="24"/>
    </row>
    <row r="383" spans="18:19" ht="15.75" x14ac:dyDescent="0.25">
      <c r="R383" s="56"/>
      <c r="S383" s="24"/>
    </row>
    <row r="384" spans="18:19" ht="15.75" x14ac:dyDescent="0.25">
      <c r="R384" s="56"/>
      <c r="S384" s="24"/>
    </row>
    <row r="385" spans="18:19" ht="15.75" x14ac:dyDescent="0.25">
      <c r="R385" s="56"/>
      <c r="S385" s="24"/>
    </row>
    <row r="386" spans="18:19" ht="15.75" x14ac:dyDescent="0.25">
      <c r="R386" s="56"/>
      <c r="S386" s="24"/>
    </row>
    <row r="387" spans="18:19" ht="15.75" x14ac:dyDescent="0.25">
      <c r="R387" s="56"/>
      <c r="S387" s="24"/>
    </row>
    <row r="388" spans="18:19" ht="15.75" x14ac:dyDescent="0.25">
      <c r="R388" s="56"/>
      <c r="S388" s="24"/>
    </row>
    <row r="389" spans="18:19" ht="15.75" x14ac:dyDescent="0.25">
      <c r="R389" s="56"/>
      <c r="S389" s="24"/>
    </row>
    <row r="390" spans="18:19" ht="15.75" x14ac:dyDescent="0.25">
      <c r="R390" s="56"/>
      <c r="S390" s="24"/>
    </row>
    <row r="391" spans="18:19" ht="15.75" x14ac:dyDescent="0.25">
      <c r="R391" s="56"/>
      <c r="S391" s="24"/>
    </row>
    <row r="392" spans="18:19" ht="15.75" x14ac:dyDescent="0.25">
      <c r="R392" s="56"/>
      <c r="S392" s="24"/>
    </row>
    <row r="393" spans="18:19" ht="15.75" x14ac:dyDescent="0.25">
      <c r="R393" s="56"/>
      <c r="S393" s="24"/>
    </row>
    <row r="394" spans="18:19" ht="15.75" x14ac:dyDescent="0.25">
      <c r="R394" s="56"/>
      <c r="S394" s="24"/>
    </row>
    <row r="395" spans="18:19" ht="15.75" x14ac:dyDescent="0.25">
      <c r="R395" s="56"/>
      <c r="S395" s="24"/>
    </row>
    <row r="396" spans="18:19" ht="15.75" x14ac:dyDescent="0.25">
      <c r="R396" s="56"/>
      <c r="S396" s="24"/>
    </row>
    <row r="397" spans="18:19" ht="15.75" x14ac:dyDescent="0.25">
      <c r="R397" s="56"/>
      <c r="S397" s="24"/>
    </row>
    <row r="398" spans="18:19" ht="15.75" x14ac:dyDescent="0.25">
      <c r="R398" s="56"/>
      <c r="S398" s="24"/>
    </row>
    <row r="399" spans="18:19" ht="15.75" x14ac:dyDescent="0.25">
      <c r="R399" s="56"/>
      <c r="S399" s="24"/>
    </row>
    <row r="400" spans="18:19" ht="15.75" x14ac:dyDescent="0.25">
      <c r="R400" s="56"/>
      <c r="S400" s="24"/>
    </row>
    <row r="401" spans="18:19" ht="15.75" x14ac:dyDescent="0.25">
      <c r="R401" s="56"/>
      <c r="S401" s="24"/>
    </row>
    <row r="402" spans="18:19" ht="15.75" x14ac:dyDescent="0.25">
      <c r="R402" s="56"/>
      <c r="S402" s="24"/>
    </row>
    <row r="403" spans="18:19" ht="15.75" x14ac:dyDescent="0.25">
      <c r="R403" s="56"/>
      <c r="S403" s="24"/>
    </row>
    <row r="404" spans="18:19" ht="15.75" x14ac:dyDescent="0.25">
      <c r="R404" s="56"/>
      <c r="S404" s="24"/>
    </row>
    <row r="405" spans="18:19" ht="15.75" x14ac:dyDescent="0.25">
      <c r="R405" s="56"/>
      <c r="S405" s="24"/>
    </row>
    <row r="406" spans="18:19" ht="15.75" x14ac:dyDescent="0.25">
      <c r="R406" s="56"/>
      <c r="S406" s="24"/>
    </row>
    <row r="407" spans="18:19" ht="15.75" x14ac:dyDescent="0.25">
      <c r="R407" s="56"/>
      <c r="S407" s="24"/>
    </row>
    <row r="408" spans="18:19" ht="15.75" x14ac:dyDescent="0.25">
      <c r="R408" s="56"/>
      <c r="S408" s="24"/>
    </row>
    <row r="409" spans="18:19" ht="15.75" x14ac:dyDescent="0.25">
      <c r="R409" s="56"/>
      <c r="S409" s="24"/>
    </row>
    <row r="410" spans="18:19" ht="15.75" x14ac:dyDescent="0.25">
      <c r="R410" s="56"/>
      <c r="S410" s="24"/>
    </row>
    <row r="411" spans="18:19" ht="15.75" x14ac:dyDescent="0.25">
      <c r="R411" s="56"/>
      <c r="S411" s="24"/>
    </row>
    <row r="412" spans="18:19" ht="15.75" x14ac:dyDescent="0.25">
      <c r="R412" s="56"/>
      <c r="S412" s="24"/>
    </row>
    <row r="413" spans="18:19" ht="15.75" x14ac:dyDescent="0.25">
      <c r="R413" s="56"/>
      <c r="S413" s="24"/>
    </row>
    <row r="414" spans="18:19" ht="15.75" x14ac:dyDescent="0.25">
      <c r="R414" s="56"/>
      <c r="S414" s="24"/>
    </row>
    <row r="415" spans="18:19" ht="15.75" x14ac:dyDescent="0.25">
      <c r="R415" s="56"/>
      <c r="S415" s="24"/>
    </row>
    <row r="416" spans="18:19" ht="15.75" x14ac:dyDescent="0.25">
      <c r="R416" s="56"/>
      <c r="S416" s="24"/>
    </row>
    <row r="417" spans="18:19" ht="15.75" x14ac:dyDescent="0.25">
      <c r="R417" s="56"/>
      <c r="S417" s="24"/>
    </row>
    <row r="418" spans="18:19" ht="15.75" x14ac:dyDescent="0.25">
      <c r="R418" s="56"/>
      <c r="S418" s="24"/>
    </row>
    <row r="419" spans="18:19" ht="15.75" x14ac:dyDescent="0.25">
      <c r="R419" s="56"/>
      <c r="S419" s="24"/>
    </row>
    <row r="420" spans="18:19" ht="15.75" x14ac:dyDescent="0.25">
      <c r="R420" s="56"/>
      <c r="S420" s="24"/>
    </row>
    <row r="421" spans="18:19" ht="15.75" x14ac:dyDescent="0.25">
      <c r="R421" s="56"/>
      <c r="S421" s="24"/>
    </row>
    <row r="422" spans="18:19" ht="15.75" x14ac:dyDescent="0.25">
      <c r="R422" s="56"/>
      <c r="S422" s="24"/>
    </row>
    <row r="423" spans="18:19" ht="15.75" x14ac:dyDescent="0.25">
      <c r="R423" s="56"/>
      <c r="S423" s="24"/>
    </row>
    <row r="424" spans="18:19" ht="15.75" x14ac:dyDescent="0.25">
      <c r="R424" s="56"/>
      <c r="S424" s="24"/>
    </row>
    <row r="425" spans="18:19" ht="15.75" x14ac:dyDescent="0.25">
      <c r="R425" s="56"/>
      <c r="S425" s="24"/>
    </row>
    <row r="426" spans="18:19" ht="15.75" x14ac:dyDescent="0.25">
      <c r="R426" s="56"/>
      <c r="S426" s="24"/>
    </row>
    <row r="427" spans="18:19" ht="15.75" x14ac:dyDescent="0.25">
      <c r="R427" s="56"/>
      <c r="S427" s="24"/>
    </row>
    <row r="428" spans="18:19" ht="15.75" x14ac:dyDescent="0.25">
      <c r="R428" s="56"/>
      <c r="S428" s="24"/>
    </row>
    <row r="429" spans="18:19" ht="15.75" x14ac:dyDescent="0.25">
      <c r="R429" s="56"/>
      <c r="S429" s="24"/>
    </row>
    <row r="430" spans="18:19" ht="15.75" x14ac:dyDescent="0.25">
      <c r="R430" s="56"/>
      <c r="S430" s="24"/>
    </row>
    <row r="431" spans="18:19" ht="15.75" x14ac:dyDescent="0.25">
      <c r="R431" s="56"/>
      <c r="S431" s="24"/>
    </row>
    <row r="432" spans="18:19" ht="15.75" x14ac:dyDescent="0.25">
      <c r="R432" s="56"/>
      <c r="S432" s="24"/>
    </row>
    <row r="433" spans="18:19" ht="15.75" x14ac:dyDescent="0.25">
      <c r="R433" s="56"/>
      <c r="S433" s="24"/>
    </row>
    <row r="434" spans="18:19" ht="15.75" x14ac:dyDescent="0.25">
      <c r="R434" s="56"/>
      <c r="S434" s="24"/>
    </row>
    <row r="435" spans="18:19" ht="15.75" x14ac:dyDescent="0.25">
      <c r="R435" s="56"/>
      <c r="S435" s="24"/>
    </row>
    <row r="436" spans="18:19" ht="15.75" x14ac:dyDescent="0.25">
      <c r="R436" s="56"/>
      <c r="S436" s="24"/>
    </row>
    <row r="437" spans="18:19" ht="15.75" x14ac:dyDescent="0.25">
      <c r="R437" s="56"/>
      <c r="S437" s="24"/>
    </row>
    <row r="438" spans="18:19" ht="15.75" x14ac:dyDescent="0.25">
      <c r="R438" s="56"/>
      <c r="S438" s="24"/>
    </row>
    <row r="439" spans="18:19" ht="15.75" x14ac:dyDescent="0.25">
      <c r="R439" s="56"/>
      <c r="S439" s="24"/>
    </row>
    <row r="440" spans="18:19" ht="15.75" x14ac:dyDescent="0.25">
      <c r="R440" s="56"/>
      <c r="S440" s="24"/>
    </row>
    <row r="441" spans="18:19" ht="15.75" x14ac:dyDescent="0.25">
      <c r="R441" s="56"/>
      <c r="S441" s="24"/>
    </row>
    <row r="442" spans="18:19" ht="15.75" x14ac:dyDescent="0.25">
      <c r="R442" s="56"/>
      <c r="S442" s="24"/>
    </row>
    <row r="443" spans="18:19" ht="15.75" x14ac:dyDescent="0.25">
      <c r="R443" s="56"/>
      <c r="S443" s="24"/>
    </row>
    <row r="444" spans="18:19" ht="15.75" x14ac:dyDescent="0.25">
      <c r="R444" s="56"/>
      <c r="S444" s="24"/>
    </row>
    <row r="445" spans="18:19" ht="15.75" x14ac:dyDescent="0.25">
      <c r="R445" s="56"/>
      <c r="S445" s="24"/>
    </row>
    <row r="446" spans="18:19" ht="15.75" x14ac:dyDescent="0.25">
      <c r="R446" s="56"/>
      <c r="S446" s="24"/>
    </row>
    <row r="447" spans="18:19" ht="15.75" x14ac:dyDescent="0.25">
      <c r="R447" s="56"/>
      <c r="S447" s="24"/>
    </row>
    <row r="448" spans="18:19" ht="15.75" x14ac:dyDescent="0.25">
      <c r="R448" s="56"/>
      <c r="S448" s="24"/>
    </row>
    <row r="449" spans="18:19" ht="15.75" x14ac:dyDescent="0.25">
      <c r="R449" s="56"/>
      <c r="S449" s="24"/>
    </row>
    <row r="450" spans="18:19" ht="15.75" x14ac:dyDescent="0.25">
      <c r="R450" s="56"/>
      <c r="S450" s="24"/>
    </row>
    <row r="451" spans="18:19" ht="15.75" x14ac:dyDescent="0.25">
      <c r="R451" s="56"/>
      <c r="S451" s="24"/>
    </row>
    <row r="452" spans="18:19" ht="15.75" x14ac:dyDescent="0.25">
      <c r="R452" s="56"/>
      <c r="S452" s="24"/>
    </row>
    <row r="453" spans="18:19" ht="15.75" x14ac:dyDescent="0.25">
      <c r="R453" s="56"/>
      <c r="S453" s="24"/>
    </row>
    <row r="454" spans="18:19" ht="15.75" x14ac:dyDescent="0.25">
      <c r="R454" s="56"/>
      <c r="S454" s="24"/>
    </row>
    <row r="455" spans="18:19" ht="15.75" x14ac:dyDescent="0.25">
      <c r="R455" s="56"/>
      <c r="S455" s="24"/>
    </row>
    <row r="456" spans="18:19" ht="15.75" x14ac:dyDescent="0.25">
      <c r="R456" s="56"/>
      <c r="S456" s="24"/>
    </row>
    <row r="457" spans="18:19" ht="15.75" x14ac:dyDescent="0.25">
      <c r="R457" s="56"/>
      <c r="S457" s="24"/>
    </row>
    <row r="458" spans="18:19" ht="15.75" x14ac:dyDescent="0.25">
      <c r="R458" s="56"/>
      <c r="S458" s="24"/>
    </row>
    <row r="459" spans="18:19" ht="15.75" x14ac:dyDescent="0.25">
      <c r="R459" s="56"/>
      <c r="S459" s="24"/>
    </row>
    <row r="460" spans="18:19" ht="15.75" x14ac:dyDescent="0.25">
      <c r="R460" s="56"/>
      <c r="S460" s="24"/>
    </row>
    <row r="461" spans="18:19" ht="15.75" x14ac:dyDescent="0.25">
      <c r="R461" s="56"/>
      <c r="S461" s="24"/>
    </row>
    <row r="462" spans="18:19" ht="15.75" x14ac:dyDescent="0.25">
      <c r="R462" s="56"/>
      <c r="S462" s="24"/>
    </row>
    <row r="463" spans="18:19" ht="15.75" x14ac:dyDescent="0.25">
      <c r="R463" s="56"/>
      <c r="S463" s="24"/>
    </row>
    <row r="464" spans="18:19" ht="15.75" x14ac:dyDescent="0.25">
      <c r="R464" s="56"/>
      <c r="S464" s="24"/>
    </row>
    <row r="465" spans="18:19" ht="15.75" x14ac:dyDescent="0.25">
      <c r="R465" s="56"/>
      <c r="S465" s="24"/>
    </row>
    <row r="466" spans="18:19" ht="15.75" x14ac:dyDescent="0.25">
      <c r="R466" s="56"/>
      <c r="S466" s="24"/>
    </row>
    <row r="467" spans="18:19" ht="15.75" x14ac:dyDescent="0.25">
      <c r="R467" s="56"/>
      <c r="S467" s="24"/>
    </row>
    <row r="468" spans="18:19" ht="15.75" x14ac:dyDescent="0.25">
      <c r="R468" s="56"/>
      <c r="S468" s="24"/>
    </row>
    <row r="469" spans="18:19" ht="15.75" x14ac:dyDescent="0.25">
      <c r="R469" s="56"/>
      <c r="S469" s="24"/>
    </row>
    <row r="470" spans="18:19" ht="15.75" x14ac:dyDescent="0.25">
      <c r="R470" s="56"/>
      <c r="S470" s="24"/>
    </row>
    <row r="471" spans="18:19" ht="15.75" x14ac:dyDescent="0.25">
      <c r="R471" s="56"/>
      <c r="S471" s="24"/>
    </row>
    <row r="472" spans="18:19" ht="15.75" x14ac:dyDescent="0.25">
      <c r="R472" s="56"/>
      <c r="S472" s="24"/>
    </row>
    <row r="473" spans="18:19" ht="15.75" x14ac:dyDescent="0.25">
      <c r="R473" s="56"/>
      <c r="S473" s="24"/>
    </row>
    <row r="474" spans="18:19" ht="15.75" x14ac:dyDescent="0.25">
      <c r="R474" s="56"/>
      <c r="S474" s="24"/>
    </row>
    <row r="475" spans="18:19" ht="15.75" x14ac:dyDescent="0.25">
      <c r="R475" s="56"/>
      <c r="S475" s="24"/>
    </row>
    <row r="476" spans="18:19" ht="15.75" x14ac:dyDescent="0.25">
      <c r="R476" s="56"/>
      <c r="S476" s="24"/>
    </row>
    <row r="477" spans="18:19" ht="15.75" x14ac:dyDescent="0.25">
      <c r="R477" s="56"/>
      <c r="S477" s="24"/>
    </row>
    <row r="478" spans="18:19" ht="15.75" x14ac:dyDescent="0.25">
      <c r="R478" s="56"/>
      <c r="S478" s="24"/>
    </row>
    <row r="479" spans="18:19" ht="15.75" x14ac:dyDescent="0.25">
      <c r="R479" s="56"/>
      <c r="S479" s="24"/>
    </row>
    <row r="480" spans="18:19" ht="15.75" x14ac:dyDescent="0.25">
      <c r="R480" s="56"/>
      <c r="S480" s="24"/>
    </row>
    <row r="481" spans="18:19" ht="15.75" x14ac:dyDescent="0.25">
      <c r="R481" s="56"/>
      <c r="S481" s="24"/>
    </row>
    <row r="482" spans="18:19" ht="15.75" x14ac:dyDescent="0.25">
      <c r="R482" s="56"/>
      <c r="S482" s="24"/>
    </row>
    <row r="483" spans="18:19" ht="15.75" x14ac:dyDescent="0.25">
      <c r="R483" s="56"/>
      <c r="S483" s="24"/>
    </row>
    <row r="484" spans="18:19" ht="15.75" x14ac:dyDescent="0.25">
      <c r="R484" s="56"/>
      <c r="S484" s="24"/>
    </row>
    <row r="485" spans="18:19" ht="15.75" x14ac:dyDescent="0.25">
      <c r="R485" s="56"/>
      <c r="S485" s="24"/>
    </row>
    <row r="486" spans="18:19" ht="15.75" x14ac:dyDescent="0.25">
      <c r="R486" s="56"/>
      <c r="S486" s="24"/>
    </row>
    <row r="487" spans="18:19" ht="15.75" x14ac:dyDescent="0.25">
      <c r="R487" s="56"/>
      <c r="S487" s="24"/>
    </row>
    <row r="488" spans="18:19" ht="15.75" x14ac:dyDescent="0.25">
      <c r="R488" s="56"/>
      <c r="S488" s="24"/>
    </row>
    <row r="489" spans="18:19" ht="15.75" x14ac:dyDescent="0.25">
      <c r="R489" s="56"/>
      <c r="S489" s="24"/>
    </row>
    <row r="490" spans="18:19" ht="15.75" x14ac:dyDescent="0.25">
      <c r="R490" s="56"/>
      <c r="S490" s="24"/>
    </row>
    <row r="491" spans="18:19" ht="15.75" x14ac:dyDescent="0.25">
      <c r="R491" s="56"/>
      <c r="S491" s="24"/>
    </row>
    <row r="492" spans="18:19" ht="15.75" x14ac:dyDescent="0.25">
      <c r="R492" s="56"/>
      <c r="S492" s="24"/>
    </row>
    <row r="493" spans="18:19" ht="15.75" x14ac:dyDescent="0.25">
      <c r="R493" s="56"/>
      <c r="S493" s="24"/>
    </row>
    <row r="494" spans="18:19" ht="15.75" x14ac:dyDescent="0.25">
      <c r="R494" s="56"/>
      <c r="S494" s="24"/>
    </row>
    <row r="495" spans="18:19" ht="15.75" x14ac:dyDescent="0.25">
      <c r="R495" s="56"/>
      <c r="S495" s="24"/>
    </row>
    <row r="496" spans="18:19" ht="15.75" x14ac:dyDescent="0.25">
      <c r="R496" s="56"/>
      <c r="S496" s="24"/>
    </row>
    <row r="497" spans="18:19" ht="15.75" x14ac:dyDescent="0.25">
      <c r="R497" s="56"/>
      <c r="S497" s="24"/>
    </row>
    <row r="498" spans="18:19" ht="15.75" x14ac:dyDescent="0.25">
      <c r="R498" s="56"/>
      <c r="S498" s="24"/>
    </row>
    <row r="499" spans="18:19" ht="15.75" x14ac:dyDescent="0.25">
      <c r="R499" s="56"/>
      <c r="S499" s="24"/>
    </row>
    <row r="500" spans="18:19" ht="15.75" x14ac:dyDescent="0.25">
      <c r="R500" s="56"/>
      <c r="S500" s="24"/>
    </row>
    <row r="501" spans="18:19" ht="15.75" x14ac:dyDescent="0.25">
      <c r="R501" s="56"/>
      <c r="S501" s="24"/>
    </row>
    <row r="502" spans="18:19" ht="15.75" x14ac:dyDescent="0.25">
      <c r="R502" s="56"/>
      <c r="S502" s="24"/>
    </row>
    <row r="503" spans="18:19" ht="15.75" x14ac:dyDescent="0.25">
      <c r="R503" s="56"/>
      <c r="S503" s="24"/>
    </row>
    <row r="504" spans="18:19" ht="15.75" x14ac:dyDescent="0.25">
      <c r="R504" s="56"/>
      <c r="S504" s="24"/>
    </row>
    <row r="505" spans="18:19" ht="15.75" x14ac:dyDescent="0.25">
      <c r="R505" s="56"/>
      <c r="S505" s="24"/>
    </row>
    <row r="506" spans="18:19" ht="15.75" x14ac:dyDescent="0.25">
      <c r="R506" s="56"/>
      <c r="S506" s="24"/>
    </row>
    <row r="507" spans="18:19" ht="15.75" x14ac:dyDescent="0.25">
      <c r="R507" s="56"/>
      <c r="S507" s="24"/>
    </row>
    <row r="508" spans="18:19" ht="15.75" x14ac:dyDescent="0.25">
      <c r="R508" s="56"/>
      <c r="S508" s="24"/>
    </row>
    <row r="509" spans="18:19" ht="15.75" x14ac:dyDescent="0.25">
      <c r="R509" s="56"/>
      <c r="S509" s="24"/>
    </row>
    <row r="510" spans="18:19" ht="15.75" x14ac:dyDescent="0.25">
      <c r="R510" s="56"/>
      <c r="S510" s="24"/>
    </row>
    <row r="511" spans="18:19" ht="15.75" x14ac:dyDescent="0.25">
      <c r="R511" s="56"/>
      <c r="S511" s="24"/>
    </row>
    <row r="512" spans="18:19" ht="15.75" x14ac:dyDescent="0.25">
      <c r="R512" s="56"/>
      <c r="S512" s="24"/>
    </row>
    <row r="513" spans="18:19" ht="15.75" x14ac:dyDescent="0.25">
      <c r="R513" s="56"/>
      <c r="S513" s="24"/>
    </row>
    <row r="514" spans="18:19" ht="15.75" x14ac:dyDescent="0.25">
      <c r="R514" s="56"/>
      <c r="S514" s="24"/>
    </row>
    <row r="515" spans="18:19" ht="15.75" x14ac:dyDescent="0.25">
      <c r="R515" s="56"/>
      <c r="S515" s="24"/>
    </row>
    <row r="516" spans="18:19" ht="15.75" x14ac:dyDescent="0.25">
      <c r="R516" s="56"/>
      <c r="S516" s="24"/>
    </row>
    <row r="517" spans="18:19" ht="15.75" x14ac:dyDescent="0.25">
      <c r="R517" s="56"/>
      <c r="S517" s="24"/>
    </row>
    <row r="518" spans="18:19" ht="15.75" x14ac:dyDescent="0.25">
      <c r="R518" s="56"/>
      <c r="S518" s="24"/>
    </row>
    <row r="519" spans="18:19" ht="15.75" x14ac:dyDescent="0.25">
      <c r="R519" s="56"/>
      <c r="S519" s="24"/>
    </row>
    <row r="520" spans="18:19" ht="15.75" x14ac:dyDescent="0.25">
      <c r="R520" s="56"/>
      <c r="S520" s="24"/>
    </row>
    <row r="521" spans="18:19" ht="15.75" x14ac:dyDescent="0.25">
      <c r="R521" s="56"/>
      <c r="S521" s="24"/>
    </row>
    <row r="522" spans="18:19" ht="15.75" x14ac:dyDescent="0.25">
      <c r="R522" s="56"/>
      <c r="S522" s="24"/>
    </row>
    <row r="523" spans="18:19" ht="15.75" x14ac:dyDescent="0.25">
      <c r="R523" s="56"/>
      <c r="S523" s="24"/>
    </row>
    <row r="524" spans="18:19" ht="15.75" x14ac:dyDescent="0.25">
      <c r="R524" s="56"/>
      <c r="S524" s="24"/>
    </row>
    <row r="525" spans="18:19" ht="15.75" x14ac:dyDescent="0.25">
      <c r="R525" s="56"/>
      <c r="S525" s="24"/>
    </row>
    <row r="526" spans="18:19" ht="15.75" x14ac:dyDescent="0.25">
      <c r="R526" s="56"/>
      <c r="S526" s="24"/>
    </row>
  </sheetData>
  <mergeCells count="10">
    <mergeCell ref="O5:P5"/>
    <mergeCell ref="F331:F333"/>
    <mergeCell ref="B1:M1"/>
    <mergeCell ref="G3:H3"/>
    <mergeCell ref="B5:B6"/>
    <mergeCell ref="C5:C6"/>
    <mergeCell ref="D5:D6"/>
    <mergeCell ref="E5:F5"/>
    <mergeCell ref="G5:I5"/>
    <mergeCell ref="J5:M5"/>
  </mergeCells>
  <conditionalFormatting sqref="S7:T99 A7:A328 T100:T101 S100:S118 T105:T109 T111:T118 S119:T140 S142:T259 S260:S526">
    <cfRule type="containsText" dxfId="0" priority="1" operator="containsText" text="FAUX">
      <formula>NOT(ISERROR(SEARCH("FAUX",A7)))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</vt:lpstr>
    </vt:vector>
  </TitlesOfParts>
  <Company>GS2E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N'ZUE Arnaud Kevin Gnenian</dc:creator>
  <cp:lastModifiedBy>N'ZUE Arnaud Kevin Gnenian</cp:lastModifiedBy>
  <dcterms:created xsi:type="dcterms:W3CDTF">2026-08-28T00:59:49Z</dcterms:created>
  <dcterms:modified xsi:type="dcterms:W3CDTF">2026-08-28T01:02:38Z</dcterms:modified>
</cp:coreProperties>
</file>